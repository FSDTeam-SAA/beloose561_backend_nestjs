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 Master Cigar Upload" sheetId="1" r:id="rId5"/>
  </sheets>
  <definedNames>
    <definedName hidden="1" localSheetId="0" name="_xlnm._FilterDatabase">'Admin Master Cigar Upload'!$A$1:$Z$1</definedName>
  </definedNames>
  <calcPr/>
</workbook>
</file>

<file path=xl/sharedStrings.xml><?xml version="1.0" encoding="utf-8"?>
<sst xmlns="http://schemas.openxmlformats.org/spreadsheetml/2006/main" count="1925" uniqueCount="1032">
  <si>
    <t>Cigar Name</t>
  </si>
  <si>
    <t>Brand</t>
  </si>
  <si>
    <t>Product Line</t>
  </si>
  <si>
    <t>Manufacturer</t>
  </si>
  <si>
    <t>Country of Origin</t>
  </si>
  <si>
    <t>Origin Region</t>
  </si>
  <si>
    <t>UPC Codes</t>
  </si>
  <si>
    <t>Images</t>
  </si>
  <si>
    <t>Thumbnail</t>
  </si>
  <si>
    <t>Strength</t>
  </si>
  <si>
    <t>Wrapper</t>
  </si>
  <si>
    <t>Binder</t>
  </si>
  <si>
    <t>Filler</t>
  </si>
  <si>
    <t>Vitola</t>
  </si>
  <si>
    <t>Size</t>
  </si>
  <si>
    <t>Length</t>
  </si>
  <si>
    <t>Ring Gauge</t>
  </si>
  <si>
    <t>Estimated Smoking Time</t>
  </si>
  <si>
    <t>Flavor Profiles</t>
  </si>
  <si>
    <t>Tasting Notes</t>
  </si>
  <si>
    <t>Pairing Suggestions</t>
  </si>
  <si>
    <t>Description</t>
  </si>
  <si>
    <t>Why You'll Like This</t>
  </si>
  <si>
    <t>Suggested Retail Price Each</t>
  </si>
  <si>
    <t>Suggested Retail Price Per Box</t>
  </si>
  <si>
    <t>Status</t>
  </si>
  <si>
    <t>Montecristo No. 2</t>
  </si>
  <si>
    <t>Montecristo</t>
  </si>
  <si>
    <t>Classic</t>
  </si>
  <si>
    <t>Altadis</t>
  </si>
  <si>
    <t>Dominican Republic</t>
  </si>
  <si>
    <t>712345000001</t>
  </si>
  <si>
    <t>medium</t>
  </si>
  <si>
    <t>Connecticut Shade</t>
  </si>
  <si>
    <t>Dominican</t>
  </si>
  <si>
    <t>Torpedo</t>
  </si>
  <si>
    <t>6.125 x 52</t>
  </si>
  <si>
    <t>Wood|Earth|Spice</t>
  </si>
  <si>
    <t>Smooth woody notes with a hint of spice</t>
  </si>
  <si>
    <t>Coffee|Rum</t>
  </si>
  <si>
    <t>A classic mild-to-medium Dominican cigar.</t>
  </si>
  <si>
    <t>Smooth and creamy finish.</t>
  </si>
  <si>
    <t>active</t>
  </si>
  <si>
    <t>Romeo y Julieta 1875 Bully</t>
  </si>
  <si>
    <t>Romeo y Julieta</t>
  </si>
  <si>
    <t>712345000002</t>
  </si>
  <si>
    <t>Indonesian</t>
  </si>
  <si>
    <t>Robusto</t>
  </si>
  <si>
    <t>5 x 50</t>
  </si>
  <si>
    <t>Cedar|Nuts|Spice</t>
  </si>
  <si>
    <t>Nutty and cedary with a sweet spice</t>
  </si>
  <si>
    <t>Bourbon|Coffee</t>
  </si>
  <si>
    <t>A well-balanced, aromatic smoke.</t>
  </si>
  <si>
    <t>Consistent and approachable.</t>
  </si>
  <si>
    <t>Cohiba Robusto</t>
  </si>
  <si>
    <t>Cohiba</t>
  </si>
  <si>
    <t>Red Dot</t>
  </si>
  <si>
    <t>General Cigar</t>
  </si>
  <si>
    <t>712345000003</t>
  </si>
  <si>
    <t>medium-full</t>
  </si>
  <si>
    <t>Cameroon</t>
  </si>
  <si>
    <t>5 x 49</t>
  </si>
  <si>
    <t>Caramel|Nuts|Wood</t>
  </si>
  <si>
    <t>Rich caramel and nutty flavors</t>
  </si>
  <si>
    <t>Scotch|Stout</t>
  </si>
  <si>
    <t>A luxurious and complex cigar.</t>
  </si>
  <si>
    <t>Perfect for special occasions.</t>
  </si>
  <si>
    <t>Macanudo Cafe Hyde Park</t>
  </si>
  <si>
    <t>Macanudo</t>
  </si>
  <si>
    <t>Cafe</t>
  </si>
  <si>
    <t>712345000004</t>
  </si>
  <si>
    <t>mild</t>
  </si>
  <si>
    <t>Mexican</t>
  </si>
  <si>
    <t>Dominican/Mexican</t>
  </si>
  <si>
    <t>5.5 x 49</t>
  </si>
  <si>
    <t>Cream|Cedar|Mild Spice</t>
  </si>
  <si>
    <t>Very creamy with light cedar</t>
  </si>
  <si>
    <t>Coffee|Light Beer</t>
  </si>
  <si>
    <t>One of the best-selling mild cigars.</t>
  </si>
  <si>
    <t>Great for beginners.</t>
  </si>
  <si>
    <t>My Father Le Bijou 1922</t>
  </si>
  <si>
    <t>My Father</t>
  </si>
  <si>
    <t>Le Bijou 1922</t>
  </si>
  <si>
    <t>My Father Cigars</t>
  </si>
  <si>
    <t>Nicaragua</t>
  </si>
  <si>
    <t>712345000005</t>
  </si>
  <si>
    <t>full</t>
  </si>
  <si>
    <t>Nicaraguan Habano Oscuro</t>
  </si>
  <si>
    <t>Nicaraguan</t>
  </si>
  <si>
    <t>Toro</t>
  </si>
  <si>
    <t>6 x 52</t>
  </si>
  <si>
    <t>Dark Chocolate|Pepper|Earth</t>
  </si>
  <si>
    <t>Intense dark chocolate and black pepper</t>
  </si>
  <si>
    <t>Espresso|Dark Rum</t>
  </si>
  <si>
    <t>A robust and full-bodied masterpiece.</t>
  </si>
  <si>
    <t>For the experienced smoker.</t>
  </si>
  <si>
    <t>Davidoff Signature No. 2</t>
  </si>
  <si>
    <t>Davidoff</t>
  </si>
  <si>
    <t>Signature</t>
  </si>
  <si>
    <t>712345000006</t>
  </si>
  <si>
    <t>mild-medium</t>
  </si>
  <si>
    <t>Ecuadorian Connecticut</t>
  </si>
  <si>
    <t>Ecuadorian</t>
  </si>
  <si>
    <t>Panetela</t>
  </si>
  <si>
    <t>6 x 38</t>
  </si>
  <si>
    <t>Floral|Wood|Cream</t>
  </si>
  <si>
    <t>Elegant floral notes with a creamy finish</t>
  </si>
  <si>
    <t>Champagne|White Wine</t>
  </si>
  <si>
    <t>A refined and elegant smoke.</t>
  </si>
  <si>
    <t>Unmatched consistency and quality.</t>
  </si>
  <si>
    <t>Rocky Patel Decade Robusto</t>
  </si>
  <si>
    <t>Rocky Patel</t>
  </si>
  <si>
    <t>Decade</t>
  </si>
  <si>
    <t>Honduras</t>
  </si>
  <si>
    <t>712345000007</t>
  </si>
  <si>
    <t>Ecuadorian Sumatra</t>
  </si>
  <si>
    <t>Cherry|Earth|Spice</t>
  </si>
  <si>
    <t>Dark cherry sweetness with earthy spice</t>
  </si>
  <si>
    <t>Bourbon|Dr Pepper</t>
  </si>
  <si>
    <t>Created to celebrate 10 years in business.</t>
  </si>
  <si>
    <t>A highly rated, complex blend.</t>
  </si>
  <si>
    <t>Ashton Classic Magnum</t>
  </si>
  <si>
    <t>Ashton</t>
  </si>
  <si>
    <t>Arturo Fuente</t>
  </si>
  <si>
    <t>712345000008</t>
  </si>
  <si>
    <t>Almond|Cream|Cedar</t>
  </si>
  <si>
    <t>Smooth almond and creamy cedar</t>
  </si>
  <si>
    <t>Coffee|Pilsner</t>
  </si>
  <si>
    <t>A quintessential mild Dominican cigar.</t>
  </si>
  <si>
    <t>Always smooth, never harsh.</t>
  </si>
  <si>
    <t>Liga Privada No. 9 Toro</t>
  </si>
  <si>
    <t>Drew Estate</t>
  </si>
  <si>
    <t>Liga Privada</t>
  </si>
  <si>
    <t>712345000009</t>
  </si>
  <si>
    <t>Connecticut Broadleaf</t>
  </si>
  <si>
    <t>Brazilian</t>
  </si>
  <si>
    <t>Honduran/Nicaraguan</t>
  </si>
  <si>
    <t>Espresso|Earth|Leather</t>
  </si>
  <si>
    <t>Dense espresso, earth, and leather</t>
  </si>
  <si>
    <t>Stout|Cognac</t>
  </si>
  <si>
    <t>A highly sought-after, robust blend.</t>
  </si>
  <si>
    <t>Produces thick, chewy smoke.</t>
  </si>
  <si>
    <t>Perdomo Reserve 10th Anniversary Champagne</t>
  </si>
  <si>
    <t>Perdomo</t>
  </si>
  <si>
    <t>Reserve 10th Anniv.</t>
  </si>
  <si>
    <t>712345000010</t>
  </si>
  <si>
    <t>Epicure</t>
  </si>
  <si>
    <t>6 x 54</t>
  </si>
  <si>
    <t>Cream|Honey|Cedar</t>
  </si>
  <si>
    <t>Rich creaminess with a touch of honey</t>
  </si>
  <si>
    <t>Coffee|Blonde Ale</t>
  </si>
  <si>
    <t>A beautifully balanced, mild Nicaraguan.</t>
  </si>
  <si>
    <t>Great flavor without overwhelming strength.</t>
  </si>
  <si>
    <t>Arturo Fuente OpusX Fuente Fuente</t>
  </si>
  <si>
    <t>OpusX</t>
  </si>
  <si>
    <t>Chateau de la Fuente</t>
  </si>
  <si>
    <t>712345000011</t>
  </si>
  <si>
    <t>Dominican Sun Grown</t>
  </si>
  <si>
    <t>Corona Gorda</t>
  </si>
  <si>
    <t>5.625 x 46</t>
  </si>
  <si>
    <t>Cinnamon|Leather|Cedar</t>
  </si>
  <si>
    <t>Rich cinnamon, leather, and complex cedar spice</t>
  </si>
  <si>
    <t>Single Malt Scotch|Cognac</t>
  </si>
  <si>
    <t>The benchmark for ultra-premium Dominican puros.</t>
  </si>
  <si>
    <t>Legendary rare vintage release.</t>
  </si>
  <si>
    <t>Padron 1964 Anniversary Exclusivo</t>
  </si>
  <si>
    <t>Padron</t>
  </si>
  <si>
    <t>1964 Anniversary</t>
  </si>
  <si>
    <t>Esteli</t>
  </si>
  <si>
    <t>712345000012</t>
  </si>
  <si>
    <t>Nicaraguan Maduro</t>
  </si>
  <si>
    <t>5.5 x 50</t>
  </si>
  <si>
    <t>Cocoa|Coffee|Earth</t>
  </si>
  <si>
    <t>Decadent dark chocolate, coffee bean, and warm spice</t>
  </si>
  <si>
    <t>Port Wine|Espresso</t>
  </si>
  <si>
    <t>A box-pressed Nicaraguan icon aged four years.</t>
  </si>
  <si>
    <t>Exquisite balance and razor-sharp burn.</t>
  </si>
  <si>
    <t>Oliva Serie V Melanio Figurado</t>
  </si>
  <si>
    <t>Oliva</t>
  </si>
  <si>
    <t>Serie V Melanio</t>
  </si>
  <si>
    <t>Oliva Cigar Co.</t>
  </si>
  <si>
    <t>Jalapa Valley</t>
  </si>
  <si>
    <t>712345000013</t>
  </si>
  <si>
    <t>Nicaraguan Habano</t>
  </si>
  <si>
    <t>Figurado</t>
  </si>
  <si>
    <t>6.5 x 52</t>
  </si>
  <si>
    <t>Caramel|Toast|Pepper</t>
  </si>
  <si>
    <t>Sweet caramel notes blending with cedar and pepper</t>
  </si>
  <si>
    <t>Bourbon|Aged Rum</t>
  </si>
  <si>
    <t>Cigar Aficionado Cigar of the Year award winner.</t>
  </si>
  <si>
    <t>Signature double-tapered shape and draw.</t>
  </si>
  <si>
    <t>Hoyo de Monterrey Epicure No. 2</t>
  </si>
  <si>
    <t>Hoyo de Monterrey</t>
  </si>
  <si>
    <t>Habanos S.A.</t>
  </si>
  <si>
    <t>Cuba</t>
  </si>
  <si>
    <t>Vuelta Abajo</t>
  </si>
  <si>
    <t>712345000014</t>
  </si>
  <si>
    <t>Cuban</t>
  </si>
  <si>
    <t>4.875 x 50</t>
  </si>
  <si>
    <t>Cocoa|Vanilla|Cedar</t>
  </si>
  <si>
    <t>Subtle sweet cocoa with delicate cedar and cream</t>
  </si>
  <si>
    <t>Cappuccino|Champagne</t>
  </si>
  <si>
    <t>One of the most beloved classic Cuban robustos.</t>
  </si>
  <si>
    <t>Delicate, aromatic, and easy-going smoke.</t>
  </si>
  <si>
    <t>Partagas Serie D No. 4</t>
  </si>
  <si>
    <t>Partagas</t>
  </si>
  <si>
    <t>Serie D</t>
  </si>
  <si>
    <t>712345000015</t>
  </si>
  <si>
    <t>Earth|Leather|Black Pepper</t>
  </si>
  <si>
    <t>Intense wood, damp earth, and lingering pepper</t>
  </si>
  <si>
    <t>Smoky Islay Scotch|Black Coffee</t>
  </si>
  <si>
    <t>A worldwide benchmark for full-bodied Cuban power.</t>
  </si>
  <si>
    <t>Uncompromising rich flavor profile.</t>
  </si>
  <si>
    <t>Flor de Las Antillas Toro</t>
  </si>
  <si>
    <t>Flor de Las Antillas</t>
  </si>
  <si>
    <t>712345000016</t>
  </si>
  <si>
    <t>Nicaraguan Sun Grown</t>
  </si>
  <si>
    <t>Nutmeg|White Pepper|Cocoa</t>
  </si>
  <si>
    <t>Silky nutmeg, sweet cocoa, and gentle white pepper</t>
  </si>
  <si>
    <t>Craft IPA|Rye Whiskey</t>
  </si>
  <si>
    <t>Named #1 Cigar of the Year by Cigar Aficionado.</t>
  </si>
  <si>
    <t>Smooth box-pressed Nicaraguan blend.</t>
  </si>
  <si>
    <t>Alec Bradley Prensado Churchill</t>
  </si>
  <si>
    <t>Alec Bradley</t>
  </si>
  <si>
    <t>Prensado</t>
  </si>
  <si>
    <t>Raices Cubanas</t>
  </si>
  <si>
    <t>Danli</t>
  </si>
  <si>
    <t>712345000017</t>
  </si>
  <si>
    <t>Honduran Corojo 2006</t>
  </si>
  <si>
    <t>Churchill</t>
  </si>
  <si>
    <t>7 x 48</t>
  </si>
  <si>
    <t>Leather|Espresso|Dark Chocolate</t>
  </si>
  <si>
    <t>Deep leather, espresso crema, and spiced cocoa</t>
  </si>
  <si>
    <t>Aged Bourbon|Dark Stout</t>
  </si>
  <si>
    <t>Award-winning Churchill with Corojo 2006 wrapper.</t>
  </si>
  <si>
    <t>Long, contemplative smoke with full richness.</t>
  </si>
  <si>
    <t>E.P. Carrillo Pledge Prequel</t>
  </si>
  <si>
    <t>E.P. Carrillo</t>
  </si>
  <si>
    <t>Pledge</t>
  </si>
  <si>
    <t>Tabacalera La Alianza</t>
  </si>
  <si>
    <t>Santiago</t>
  </si>
  <si>
    <t>712345000018</t>
  </si>
  <si>
    <t>Cuban-seed Connecticut Habano</t>
  </si>
  <si>
    <t>Black Tea|Licorice|Cedar</t>
  </si>
  <si>
    <t>Rich notes of spiced tea, dark berries, and cedar</t>
  </si>
  <si>
    <t>Sherry Cask Whiskey|Espresso</t>
  </si>
  <si>
    <t>Rated 98 points and crowned Cigar of the Year.</t>
  </si>
  <si>
    <t>Complex layering from master blender Ernesto Perez-Carrillo.</t>
  </si>
  <si>
    <t>Plasencia Alma Fuerte Generacion V</t>
  </si>
  <si>
    <t>Plasencia</t>
  </si>
  <si>
    <t>Alma Fuerte</t>
  </si>
  <si>
    <t>Plasencia Cigars</t>
  </si>
  <si>
    <t>712345000019</t>
  </si>
  <si>
    <t>Nicaraguan Shade Grown</t>
  </si>
  <si>
    <t>Salomon</t>
  </si>
  <si>
    <t>7 x 58</t>
  </si>
  <si>
    <t>Dark Chocolate|Plum|Oak</t>
  </si>
  <si>
    <t>Velvety dark chocolate, molasses, and roasted almond</t>
  </si>
  <si>
    <t>Añejo Tequila|Vintage Port</t>
  </si>
  <si>
    <t>Ultra-premium Nicaraguan puro with aged vintage tobaccos.</t>
  </si>
  <si>
    <t>Unique hexagon box-press Salomon vitola.</t>
  </si>
  <si>
    <t>Aging Room Quattro Nicaragua Maestro</t>
  </si>
  <si>
    <t>Aging Room</t>
  </si>
  <si>
    <t>Quattro Nicaragua</t>
  </si>
  <si>
    <t>A.J. Fernandez</t>
  </si>
  <si>
    <t>712345000020</t>
  </si>
  <si>
    <t>Nicaraguan Sumatra</t>
  </si>
  <si>
    <t>Roasted Coffee|Dark Spice|Cedar</t>
  </si>
  <si>
    <t>Heavy roasted coffee bean, dry spice, and rich wood</t>
  </si>
  <si>
    <t>Single Barrel Bourbon|Double Espresso</t>
  </si>
  <si>
    <t>Collaborative creation with A.J. Fernandez, #1 Cigar of the Year.</t>
  </si>
  <si>
    <t>Intense character and seamless construction.</t>
  </si>
  <si>
    <t>Arturo Fuente Hemingway Short Story</t>
  </si>
  <si>
    <t>Hemingway</t>
  </si>
  <si>
    <t>712345000021</t>
  </si>
  <si>
    <t>Perfecto</t>
  </si>
  <si>
    <t>4 x 49</t>
  </si>
  <si>
    <t>Cedar|Cream|Sweet Spice</t>
  </si>
  <si>
    <t>Sweet baking spices and rich cedar with a creamy texture</t>
  </si>
  <si>
    <t>Cappuccino|Aged Rum</t>
  </si>
  <si>
    <t>Celebrated short perfecto delivering rich vintage Cameroon flavor.</t>
  </si>
  <si>
    <t>Perfect quick luxury smoke with exceptional balance.</t>
  </si>
  <si>
    <t>Padron 1926 Series No. 9</t>
  </si>
  <si>
    <t>1926 Series</t>
  </si>
  <si>
    <t>712345000022</t>
  </si>
  <si>
    <t>5.25 x 56</t>
  </si>
  <si>
    <t>Cocoa|Coffee|Black Pepper</t>
  </si>
  <si>
    <t>Intensely rich dark cocoa, espresso bean, and complex spice</t>
  </si>
  <si>
    <t>Port Wine|Single Malt Scotch</t>
  </si>
  <si>
    <t>Highly rated Nicaraguan masterpiece celebrating Jose Padron's birth year.</t>
  </si>
  <si>
    <t>Deep layered complexity and razor-sharp box-pressed burn.</t>
  </si>
  <si>
    <t>Ashton VSG Torpedo</t>
  </si>
  <si>
    <t>Virgin Sun Grown</t>
  </si>
  <si>
    <t>712345000023</t>
  </si>
  <si>
    <t>Ecuadorian Sun Grown</t>
  </si>
  <si>
    <t>6.5 x 55</t>
  </si>
  <si>
    <t>Earth|Espresso|Dark Chocolate</t>
  </si>
  <si>
    <t>Heavy espresso crema, damp earth, and toasted walnut</t>
  </si>
  <si>
    <t>Cognac|Bourbon</t>
  </si>
  <si>
    <t>Powerful collaboration between Ashton and the Fuente family.</t>
  </si>
  <si>
    <t>Robust sun-grown intensity with refined smoothness.</t>
  </si>
  <si>
    <t>Davidoff Winston Churchill Late Hour Churchill</t>
  </si>
  <si>
    <t>Winston Churchill Late Hour</t>
  </si>
  <si>
    <t>712345000024</t>
  </si>
  <si>
    <t>Ecuadorian Habano Oscuro</t>
  </si>
  <si>
    <t>Mexican San Andres</t>
  </si>
  <si>
    <t>Dominican/Nicaraguan</t>
  </si>
  <si>
    <t>Dark Chocolate|Oak|Leather</t>
  </si>
  <si>
    <t>Heavy oak, dark chocolate, and subtle scotch cask sweetness</t>
  </si>
  <si>
    <t>Islay Single Malt|Black Coffee</t>
  </si>
  <si>
    <t>Premium blend aged six months in the finest Scotch single malt casks.</t>
  </si>
  <si>
    <t>Sophisticated nightcap smoke with complex wood notes.</t>
  </si>
  <si>
    <t>Liga Privada T52 Toro</t>
  </si>
  <si>
    <t>Liga Privada T52</t>
  </si>
  <si>
    <t>712345000025</t>
  </si>
  <si>
    <t>Connecticut Stalk-Cut Habano</t>
  </si>
  <si>
    <t>Brazilian Mata Fina</t>
  </si>
  <si>
    <t>Black Pepper|Oak|Leather</t>
  </si>
  <si>
    <t>Vibrant black pepper, cured tobacco, and charred oak</t>
  </si>
  <si>
    <t>Rye Whiskey|Imperial Stout</t>
  </si>
  <si>
    <t>Meticulously stalk-cut and cured American-grown Habano wrapper.</t>
  </si>
  <si>
    <t>High-volume aromatic smoke with bold spicy character.</t>
  </si>
  <si>
    <t>My Father The Judge Grand Robusto</t>
  </si>
  <si>
    <t>The Judge</t>
  </si>
  <si>
    <t>712345000026</t>
  </si>
  <si>
    <t>Nicaraguan Corojo/Criollo</t>
  </si>
  <si>
    <t>Robusto Gordo</t>
  </si>
  <si>
    <t>5 x 60</t>
  </si>
  <si>
    <t>Cedar|Nuts|Leather</t>
  </si>
  <si>
    <t>Roasted almond, cedar wood, and lingering cinnamon spice</t>
  </si>
  <si>
    <t>Bourbon|Espresso</t>
  </si>
  <si>
    <t>Full-flavored box-pressed showcase of rich Garcia family tobaccos.</t>
  </si>
  <si>
    <t>Luscious full body with creamy undertones.</t>
  </si>
  <si>
    <t>Oliva Serie V Melanio Maduro Robusto</t>
  </si>
  <si>
    <t>Serie V Melanio Maduro</t>
  </si>
  <si>
    <t>712345000027</t>
  </si>
  <si>
    <t>5 x 52</t>
  </si>
  <si>
    <t>Dark Cocoa|Coffee|Leather</t>
  </si>
  <si>
    <t>Sweet Mexican maduro earthiness, mocha, and toasted wood</t>
  </si>
  <si>
    <t>Stout|Aged Rum</t>
  </si>
  <si>
    <t>Box-pressed beauty pairing San Andres wrapper with Jalapa fillers.</t>
  </si>
  <si>
    <t>Velvety dessert-like smoke with balanced strength.</t>
  </si>
  <si>
    <t>Perdomo Habano Bourbon Barrel-Aged Maduro Epicure</t>
  </si>
  <si>
    <t>Habano Bourbon Barrel-Aged</t>
  </si>
  <si>
    <t>712345000028</t>
  </si>
  <si>
    <t>Nicaraguan Habano Maduro</t>
  </si>
  <si>
    <t>Caramel|Bourbon|Dark Chocolate</t>
  </si>
  <si>
    <t>Sweet caramel, charred oak, and dark cocoa with barrel warmth</t>
  </si>
  <si>
    <t>Bourbon|Dark Ale</t>
  </si>
  <si>
    <t>Wrapper leaf aged in charred white oak bourbon barrels for 14 months.</t>
  </si>
  <si>
    <t>Distinctive oaky sweetness and flawless draw.</t>
  </si>
  <si>
    <t>La Flor Dominicana Andalusian Bull</t>
  </si>
  <si>
    <t>La Flor Dominicana</t>
  </si>
  <si>
    <t>Andalusian Bull</t>
  </si>
  <si>
    <t>Tabacalera La Flor</t>
  </si>
  <si>
    <t>712345000029</t>
  </si>
  <si>
    <t>Ecuadorian Corojo</t>
  </si>
  <si>
    <t>Dominican Criollo 98</t>
  </si>
  <si>
    <t>6.5 x 64</t>
  </si>
  <si>
    <t>Leather|Saffron|Citrus</t>
  </si>
  <si>
    <t>Exotic saffron, aged leather, and bright orange peel notes</t>
  </si>
  <si>
    <t>Cigar Aficionado #1 Cigar of the Year rolled in an antique mold.</t>
  </si>
  <si>
    <t>Rare sculptural shape and remarkably balanced power.</t>
  </si>
  <si>
    <t>Arturo Fuente Don Carlos Belicoso</t>
  </si>
  <si>
    <t>Don Carlos</t>
  </si>
  <si>
    <t>712345000030</t>
  </si>
  <si>
    <t>Belicoso</t>
  </si>
  <si>
    <t>5.375 x 52</t>
  </si>
  <si>
    <t>Nutty|Sweet Wood|Cream</t>
  </si>
  <si>
    <t>Delicate nutty sweetness, aromatic cedar, and gentle black tea</t>
  </si>
  <si>
    <t>Irish Whiskey|Coffee</t>
  </si>
  <si>
    <t>Blended in tribute to Carlos Fuente Sr. using aged vintage tobaccos.</t>
  </si>
  <si>
    <t>Supreme aroma and refined medium-bodied elegance.</t>
  </si>
  <si>
    <t>Padron Dámaso No. 12</t>
  </si>
  <si>
    <t>Dámaso</t>
  </si>
  <si>
    <t>Condega</t>
  </si>
  <si>
    <t>712345000031</t>
  </si>
  <si>
    <t>Cream|Butter|Mild Spice</t>
  </si>
  <si>
    <t>Creamy butter, subtle cedar, and delicate white pepper</t>
  </si>
  <si>
    <t>Latte|Chardonnay</t>
  </si>
  <si>
    <t>Padron's elegant interpretation of a modern mild Connecticut smoke.</t>
  </si>
  <si>
    <t>Padron craftsmanship tailored for lighter palate enthusiasts.</t>
  </si>
  <si>
    <t>Foundation The Tabernacle Toro</t>
  </si>
  <si>
    <t>Foundation</t>
  </si>
  <si>
    <t>The Tabernacle</t>
  </si>
  <si>
    <t>AJ Fernandez</t>
  </si>
  <si>
    <t>712345000032</t>
  </si>
  <si>
    <t>Espresso|Dark Chocolate|Pepper</t>
  </si>
  <si>
    <t>Oily dark chocolate, bold espresso, and roasted pepper spice</t>
  </si>
  <si>
    <t>Porter|Bourbon</t>
  </si>
  <si>
    <t>Nicholas Melillo's tribute to Connecticut river valley broadleaf.</t>
  </si>
  <si>
    <t>Rich chewy smoke with intense earthy sweet finish.</t>
  </si>
  <si>
    <t>Dunbarton Sobremesa Cervantes Fino</t>
  </si>
  <si>
    <t>Dunbarton Tobacco &amp; Trust</t>
  </si>
  <si>
    <t>Sobremesa</t>
  </si>
  <si>
    <t>Joya de Nicaragua</t>
  </si>
  <si>
    <t>712345000033</t>
  </si>
  <si>
    <t>Ecuadorian Habano Rosado</t>
  </si>
  <si>
    <t>Mexican Matacapan</t>
  </si>
  <si>
    <t>Nicaraguan/Pennsylvania Broadleaf</t>
  </si>
  <si>
    <t>Corona Grande</t>
  </si>
  <si>
    <t>6.25 x 46</t>
  </si>
  <si>
    <t>Cocoa|Cedar|Sweet Cream</t>
  </si>
  <si>
    <t>Silky cocoa powder, cedar wood, and sweet creaminess</t>
  </si>
  <si>
    <t>Cafe con Leche|Bourbon</t>
  </si>
  <si>
    <t>Steve Saka's premier release honoring relaxed post-dinner conversation.</t>
  </si>
  <si>
    <t>Harmonious balance of richness, sweetness, and spice.</t>
  </si>
  <si>
    <t>Crowned Heads Mil Días Sublime</t>
  </si>
  <si>
    <t>Crowned Heads</t>
  </si>
  <si>
    <t>Mil Días</t>
  </si>
  <si>
    <t>Tabacalera Pichardo</t>
  </si>
  <si>
    <t>712345000034</t>
  </si>
  <si>
    <t>Ecuadorian Habano</t>
  </si>
  <si>
    <t>Costa Rican/Nicaraguan/Peruvian</t>
  </si>
  <si>
    <t>Graham Cracker|Cinnamon|Cedar</t>
  </si>
  <si>
    <t>Sweet graham cracker, warm cinnamon, and creamy cedar</t>
  </si>
  <si>
    <t>Rum|American Pale Ale</t>
  </si>
  <si>
    <t>Blend developed over 1,000 days of careful tasting and refinement.</t>
  </si>
  <si>
    <t>Deceptively smooth with deep multi-country complexity.</t>
  </si>
  <si>
    <t>RoMa Craft CroMagnon Anthropoid</t>
  </si>
  <si>
    <t>RoMa Craft Tobac</t>
  </si>
  <si>
    <t>CroMagnon</t>
  </si>
  <si>
    <t>Nica Sueño</t>
  </si>
  <si>
    <t>712345000035</t>
  </si>
  <si>
    <t>Robusto Extra</t>
  </si>
  <si>
    <t>5.5 x 54</t>
  </si>
  <si>
    <t>Earth|Charred Oak|Black Pepper</t>
  </si>
  <si>
    <t>Raw earth, campfire wood, and unapologetic black pepper</t>
  </si>
  <si>
    <t>Islay Scotch|Rye Whiskey</t>
  </si>
  <si>
    <t>Artisanal full-strength blend utilizing rare Cameroon binder tobacco.</t>
  </si>
  <si>
    <t>Unflinching intensity and pristine boutique construction.</t>
  </si>
  <si>
    <t>Warped Flor del Valle Cristales</t>
  </si>
  <si>
    <t>Warped Cigars</t>
  </si>
  <si>
    <t>Flor del Valle</t>
  </si>
  <si>
    <t>Casa Fernandez</t>
  </si>
  <si>
    <t>712345000036</t>
  </si>
  <si>
    <t>Nicaraguan Corojo 99</t>
  </si>
  <si>
    <t>Nicaraguan Corojo 99/Criollo 98</t>
  </si>
  <si>
    <t>Corona</t>
  </si>
  <si>
    <t>6 x 42</t>
  </si>
  <si>
    <t>Floral|Brown Sugar|White Pepper</t>
  </si>
  <si>
    <t>Delicate floral aromatics, brown sugar, and snappy white pepper</t>
  </si>
  <si>
    <t>Dry Gin|Earl Grey Tea</t>
  </si>
  <si>
    <t>Nicaraguan puro rolled using traditional 100% Cuban techniques.</t>
  </si>
  <si>
    <t>Crisp, elegant profile with sweet Cuban-style nuance.</t>
  </si>
  <si>
    <t>Tatuaje Seleccion de Cazador Regios</t>
  </si>
  <si>
    <t>Tatuaje</t>
  </si>
  <si>
    <t>Seleccion de Cazador</t>
  </si>
  <si>
    <t>712345000037</t>
  </si>
  <si>
    <t>Pepper|Leather|Espresso</t>
  </si>
  <si>
    <t>Zesty black pepper blast settling into rich espresso and leather</t>
  </si>
  <si>
    <t>Bourbon|Dark Coffee</t>
  </si>
  <si>
    <t>Pete Johnson's legendary "Brown Label" original blend.</t>
  </si>
  <si>
    <t>Quintessential modern boutique blend with classic power.</t>
  </si>
  <si>
    <t>Joya de Nicaragua Antaño 1970 Gran Consul</t>
  </si>
  <si>
    <t>Antaño 1970</t>
  </si>
  <si>
    <t>712345000038</t>
  </si>
  <si>
    <t>Nicaraguan Criollo</t>
  </si>
  <si>
    <t>Gordo</t>
  </si>
  <si>
    <t>4.75 x 60</t>
  </si>
  <si>
    <t>Leather|Molasses|Earth</t>
  </si>
  <si>
    <t>Punchy earth, black molasses, and intense leather notes</t>
  </si>
  <si>
    <t>Peated Scotch|Stout</t>
  </si>
  <si>
    <t>Historic powerhouse Nicaraguan puro recreating 1970s character.</t>
  </si>
  <si>
    <t>Unrivaled full-throttle strength and dense smoke output.</t>
  </si>
  <si>
    <t>La Aroma de Cuba Mi Amor Belicoso</t>
  </si>
  <si>
    <t>La Aroma de Cuba</t>
  </si>
  <si>
    <t>Mi Amor</t>
  </si>
  <si>
    <t>712345000039</t>
  </si>
  <si>
    <t>Chocolate|Almond|Spice</t>
  </si>
  <si>
    <t>Creamy milk chocolate, toasted almond, and sweet warm spice</t>
  </si>
  <si>
    <t>Port|Aged Rum</t>
  </si>
  <si>
    <t>Top 25 Cigar of the Year made by the Garcia family for Ashton.</t>
  </si>
  <si>
    <t>Sumptuous chocolate wrapper with perfect draw and burn.</t>
  </si>
  <si>
    <t>San Cristobal Quintessence Churchill</t>
  </si>
  <si>
    <t>San Cristobal</t>
  </si>
  <si>
    <t>Quintessence</t>
  </si>
  <si>
    <t>712345000040</t>
  </si>
  <si>
    <t>7 x 49</t>
  </si>
  <si>
    <t>Molasses|Coffee|Cedar</t>
  </si>
  <si>
    <t>Dark molasses sweetness, fresh brewed coffee, and cedar spice</t>
  </si>
  <si>
    <t>Award-winning collaboration between Don Pepin Garcia and Ashton.</t>
  </si>
  <si>
    <t>Luscious creamy smoke with lingering rich dessert notes.</t>
  </si>
  <si>
    <t>Undercrown Maduro Corona Viva</t>
  </si>
  <si>
    <t>Undercrown Maduro</t>
  </si>
  <si>
    <t>712345000041</t>
  </si>
  <si>
    <t>Connecticut River Valley Habano</t>
  </si>
  <si>
    <t>Brazilian/Nicaraguan</t>
  </si>
  <si>
    <t>Cocoa|Toast|Spice</t>
  </si>
  <si>
    <t>Toasty cocoa, dried fruit sweetness, and gentle white pepper</t>
  </si>
  <si>
    <t>Stout|Dr Pepper</t>
  </si>
  <si>
    <t>Born on factory rolling tables as torcedores' everyday smoke.</t>
  </si>
  <si>
    <t>Extraordinary smoke volume and deeply satisfying cocoa aroma.</t>
  </si>
  <si>
    <t>Romeo y Julieta Reserva Real Robusto</t>
  </si>
  <si>
    <t>Reserva Real</t>
  </si>
  <si>
    <t>La Romana</t>
  </si>
  <si>
    <t>712345000042</t>
  </si>
  <si>
    <t>Cream|Wood|Toasted Nuts</t>
  </si>
  <si>
    <t>Smooth cream, cedar wood shavings, and mild roasted peanuts</t>
  </si>
  <si>
    <t>Light Beer|Chardonnay</t>
  </si>
  <si>
    <t>Contemporary enhancement to the classic mild Romeo portfolio.</t>
  </si>
  <si>
    <t>Ultra-smooth draw suitable for beginners and veterans alike.</t>
  </si>
  <si>
    <t>Montecristo White Series Especial No. 2</t>
  </si>
  <si>
    <t>White Series</t>
  </si>
  <si>
    <t>712345000043</t>
  </si>
  <si>
    <t>6 x 50</t>
  </si>
  <si>
    <t>Vanilla|Almond|Cedar</t>
  </si>
  <si>
    <t>Velvety vanilla, sweet almond, and fragrant cedar wood</t>
  </si>
  <si>
    <t>Flagship white-label blend setting the bar for mild luxury smokes.</t>
  </si>
  <si>
    <t>Exceptionally creamy mouthfeel with a fragrant aromatic room note.</t>
  </si>
  <si>
    <t>Camacho Corojo Robusto</t>
  </si>
  <si>
    <t>Camacho</t>
  </si>
  <si>
    <t>Corojo</t>
  </si>
  <si>
    <t>Davidoff / Camacho</t>
  </si>
  <si>
    <t>712345000044</t>
  </si>
  <si>
    <t>Honduran Corojo</t>
  </si>
  <si>
    <t>Earth|Pepper|Sweet Wood</t>
  </si>
  <si>
    <t>Authentic Honduran corojo punch, damp earth, and zesty pepper</t>
  </si>
  <si>
    <t>Bourbon|Rye Whiskey</t>
  </si>
  <si>
    <t>Authentic fourth-generation Cuban-seed Corojo grown in Jamastran.</t>
  </si>
  <si>
    <t>Intense bold spice and full-throttle Honduran flavor.</t>
  </si>
  <si>
    <t>AVO Classic No. 2</t>
  </si>
  <si>
    <t>AVO</t>
  </si>
  <si>
    <t>712345000045</t>
  </si>
  <si>
    <t>Cream|Hay|Sweet Grass</t>
  </si>
  <si>
    <t>Sweet summer hay, whipped cream, and light wood notes</t>
  </si>
  <si>
    <t>White Wine|Blonde Ale</t>
  </si>
  <si>
    <t>Harmonic collaboration between composer Avo Uvezian and Hendrik Kelner.</t>
  </si>
  <si>
    <t>Musical balance and serene, mild refinement.</t>
  </si>
  <si>
    <t>CAO Flathead V660 Carb</t>
  </si>
  <si>
    <t>CAO</t>
  </si>
  <si>
    <t>Flathead</t>
  </si>
  <si>
    <t>712345000046</t>
  </si>
  <si>
    <t>Habano Connecticut</t>
  </si>
  <si>
    <t>6 x 60</t>
  </si>
  <si>
    <t>Dark Chocolate|Earth|Black Cherry</t>
  </si>
  <si>
    <t>Heavy dark chocolate, ripe black cherries, and earthy richness</t>
  </si>
  <si>
    <t>Imperial Stout|Bourbon</t>
  </si>
  <si>
    <t>Hot-rod automotive inspired box-pressed powerhouse with flat cap.</t>
  </si>
  <si>
    <t>Thick, syrupy chocolate profile with commanding presence.</t>
  </si>
  <si>
    <t>Alec Bradley Magic Toast Robusto</t>
  </si>
  <si>
    <t>Magic Toast</t>
  </si>
  <si>
    <t>712345000047</t>
  </si>
  <si>
    <t>Honduran</t>
  </si>
  <si>
    <t>Toast|Cedar|Chocolate</t>
  </si>
  <si>
    <t>Roasted toast, dark baking cocoa, and cedar shavings</t>
  </si>
  <si>
    <t>Red Wine|Espresso</t>
  </si>
  <si>
    <t>Named after a memorable midnight field toast in tobacco crop.</t>
  </si>
  <si>
    <t>Distinctive toasty aroma and rich balanced body.</t>
  </si>
  <si>
    <t>Illusione Epernay Le Ferme</t>
  </si>
  <si>
    <t>Illusione</t>
  </si>
  <si>
    <t>Epernay</t>
  </si>
  <si>
    <t>712345000048</t>
  </si>
  <si>
    <t>Cafe Rosado Corojo</t>
  </si>
  <si>
    <t>5.25 x 48</t>
  </si>
  <si>
    <t>Honey|Floral|Cream</t>
  </si>
  <si>
    <t>Wildflower honey, floral blossom, and light cream finish</t>
  </si>
  <si>
    <t>Champagne|Sparkling Cider</t>
  </si>
  <si>
    <t>Blended specifically to pair with vintage champagne and fine wine.</t>
  </si>
  <si>
    <t>Sublime sweetness and delicate aromatic complexity.</t>
  </si>
  <si>
    <t>Southern Draw Rose of Sharon Toro</t>
  </si>
  <si>
    <t>Southern Draw</t>
  </si>
  <si>
    <t>Rose of Sharon</t>
  </si>
  <si>
    <t>712345000049</t>
  </si>
  <si>
    <t>Ecuadorian Sun Grown Connecticut</t>
  </si>
  <si>
    <t>Butter|Caramel|White Pepper</t>
  </si>
  <si>
    <t>Sweet browned butter, delicate caramel, and mild pepper sparkle</t>
  </si>
  <si>
    <t>Latte|IPA</t>
  </si>
  <si>
    <t>Veteran-owned brand's highly acclaimed semi-sweet Connecticut blend.</t>
  </si>
  <si>
    <t>Creamy texture with surprising flavorful depth.</t>
  </si>
  <si>
    <t>Caldwell The King is Dead Premier</t>
  </si>
  <si>
    <t>Caldwell Cigar Co.</t>
  </si>
  <si>
    <t>The King is Dead</t>
  </si>
  <si>
    <t>Tabacalera William Ventura</t>
  </si>
  <si>
    <t>712345000050</t>
  </si>
  <si>
    <t>Dominican Negrito</t>
  </si>
  <si>
    <t>Dominican Corojo</t>
  </si>
  <si>
    <t>Dominican Corojo/HVA/Negrito</t>
  </si>
  <si>
    <t>Milk Chocolate|Gingerbread|Cedar</t>
  </si>
  <si>
    <t>Milk chocolate, sweet gingerbread spice, and fragrant cedar</t>
  </si>
  <si>
    <t>Bourbon|Craft Porter</t>
  </si>
  <si>
    <t>Utilizes rare Dominican Negrito wrapper leaf for distinct nuance.</t>
  </si>
  <si>
    <t>Quirky boutique character with sweet savory finish.</t>
  </si>
  <si>
    <t>H. Upmann The Banker Annuity</t>
  </si>
  <si>
    <t>H. Upmann</t>
  </si>
  <si>
    <t>The Banker</t>
  </si>
  <si>
    <t>712345000051</t>
  </si>
  <si>
    <t>Coffee|Leather|Nutty</t>
  </si>
  <si>
    <t>Roasted coffee bean, rich saddle leather, and roasted hazelnut</t>
  </si>
  <si>
    <t>Coffee|Scotch</t>
  </si>
  <si>
    <t>Created in homage to founder Herman Upmann's private vault blend.</t>
  </si>
  <si>
    <t>Solid construction and traditional medium-full balance.</t>
  </si>
  <si>
    <t>Kristoff Criollo Robusto</t>
  </si>
  <si>
    <t>Kristoff</t>
  </si>
  <si>
    <t>Criollo</t>
  </si>
  <si>
    <t>Charles Fairmorn</t>
  </si>
  <si>
    <t>Tamboril</t>
  </si>
  <si>
    <t>712345000052</t>
  </si>
  <si>
    <t>Dominican Criollo</t>
  </si>
  <si>
    <t>Almond|Toasted Oak|Caramel</t>
  </si>
  <si>
    <t>Roasted almond, toasted oak, and sweet lingering caramel</t>
  </si>
  <si>
    <t>Scotch|Black Tea</t>
  </si>
  <si>
    <t>Features signature pig-tail cap and rough-cut shaggy foot.</t>
  </si>
  <si>
    <t>Exceptional draw and aromatic, nutty profile.</t>
  </si>
  <si>
    <t>Ramon Allones Specially Selected Robusto</t>
  </si>
  <si>
    <t>Ramon Allones</t>
  </si>
  <si>
    <t>Specially Selected</t>
  </si>
  <si>
    <t>712345000053</t>
  </si>
  <si>
    <t>Stewed Fruit|Earth|Leather</t>
  </si>
  <si>
    <t>Stewed dark fruit, moist earth, and aged leather</t>
  </si>
  <si>
    <t>Cognac|Espresso</t>
  </si>
  <si>
    <t>One of the oldest and most respected authentic Cuban cigar lines.</t>
  </si>
  <si>
    <t>Quintessential Cuban complexity and rich body.</t>
  </si>
  <si>
    <t>Bolivar Royal Coronas</t>
  </si>
  <si>
    <t>Bolivar</t>
  </si>
  <si>
    <t>Royal Coronas</t>
  </si>
  <si>
    <t>712345000054</t>
  </si>
  <si>
    <t>Earth|Coffee|Charred Wood</t>
  </si>
  <si>
    <t>Deep damp earth, bitter black coffee, and toasted oak</t>
  </si>
  <si>
    <t>Single Malt Scotch|Espresso</t>
  </si>
  <si>
    <t>Renowned as one of Havana's most powerful full-flavored cigars.</t>
  </si>
  <si>
    <t>Uncompromising strength with rich Cuban terroir.</t>
  </si>
  <si>
    <t>Trinidad Reyes</t>
  </si>
  <si>
    <t>Trinidad</t>
  </si>
  <si>
    <t>Reyes</t>
  </si>
  <si>
    <t>712345000055</t>
  </si>
  <si>
    <t>Petit Corona</t>
  </si>
  <si>
    <t>4.375 x 40</t>
  </si>
  <si>
    <t>Honey|Cedar|Vanilla</t>
  </si>
  <si>
    <t>Sweet floral honey, gentle cedar wood, and fragrant vanilla</t>
  </si>
  <si>
    <t>Cappuccino|Cognac</t>
  </si>
  <si>
    <t>Prestigious boutique Cuban line finished with signature pigtail.</t>
  </si>
  <si>
    <t>Short refined luxury smoke with incredible perfume.</t>
  </si>
  <si>
    <t>Cohiba Siglo II</t>
  </si>
  <si>
    <t>Siglo</t>
  </si>
  <si>
    <t>712345000056</t>
  </si>
  <si>
    <t>5.125 x 42</t>
  </si>
  <si>
    <t>Grass|Cream|Cedar</t>
  </si>
  <si>
    <t>Fresh cut grass, vanilla cream, and aromatic Spanish cedar</t>
  </si>
  <si>
    <t>Champagne|Espresso</t>
  </si>
  <si>
    <t>Part of Cohiba's 1492 line celebrating Columbus's arrival.</t>
  </si>
  <si>
    <t>Benchmark Cuban prestige and silky smoothness.</t>
  </si>
  <si>
    <t>Montecristo No. 4</t>
  </si>
  <si>
    <t>Classic Cuban</t>
  </si>
  <si>
    <t>712345000057</t>
  </si>
  <si>
    <t>Coffee|Cocoa|Spice</t>
  </si>
  <si>
    <t>Roasted coffee, tangy cocoa, and delicate white pepper</t>
  </si>
  <si>
    <t>Espresso|Cognac</t>
  </si>
  <si>
    <t>Historically the most widely sold Cuban handmade cigar worldwide.</t>
  </si>
  <si>
    <t>Reliable Cuban signature flavor in an accessible vitola.</t>
  </si>
  <si>
    <t>Partagas Serie P No. 2</t>
  </si>
  <si>
    <t>Serie P</t>
  </si>
  <si>
    <t>712345000058</t>
  </si>
  <si>
    <t>Pirámide</t>
  </si>
  <si>
    <t>Leather|Earth|Black Pepper</t>
  </si>
  <si>
    <t>Intensely rich leather, damp mineral earth, and black pepper</t>
  </si>
  <si>
    <t>Islay Scotch|Black Coffee</t>
  </si>
  <si>
    <t>Classic Cuban torpedo boasting tremendous concentration of flavor.</t>
  </si>
  <si>
    <t>Dramatic pointed head focusing heavy Cuban punch.</t>
  </si>
  <si>
    <t>H. Upmann Half Corona</t>
  </si>
  <si>
    <t>Half Corona</t>
  </si>
  <si>
    <t>712345000059</t>
  </si>
  <si>
    <t>3.5 x 44</t>
  </si>
  <si>
    <t>Toasted Nuts|Cream|Wood</t>
  </si>
  <si>
    <t>Warm roasted hazelnut, sweet cream, and cedar shavings</t>
  </si>
  <si>
    <t>Espresso|Cortado</t>
  </si>
  <si>
    <t>Perfectly proportioned short smoke for quick premium indulgence.</t>
  </si>
  <si>
    <t>Surprisingly big flavor and aroma in a compact format.</t>
  </si>
  <si>
    <t>Romeo y Julieta Wide Churchill</t>
  </si>
  <si>
    <t>Wide Churchill</t>
  </si>
  <si>
    <t>712345000060</t>
  </si>
  <si>
    <t>Montesco</t>
  </si>
  <si>
    <t>5.125 x 55</t>
  </si>
  <si>
    <t>Cedar|Nutty|Floral</t>
  </si>
  <si>
    <t>Delicate cedar wood, sweet roasted almond, and dried flowers</t>
  </si>
  <si>
    <t>Champagne|Single Malt</t>
  </si>
  <si>
    <t>Heavy 55 ring gauge vitola showcasing Romeo's aromatic blend.</t>
  </si>
  <si>
    <t>Cool, effortless draw delivering plush fragrant clouds.</t>
  </si>
  <si>
    <t>ACID Kuba Kuba</t>
  </si>
  <si>
    <t>ACID</t>
  </si>
  <si>
    <t>712345000061</t>
  </si>
  <si>
    <t>Sumatra</t>
  </si>
  <si>
    <t>5 x 54</t>
  </si>
  <si>
    <t>Sweet Botanicals|Herbal|Honey</t>
  </si>
  <si>
    <t>Sweet herbal botanicals, honey nectar, and aromatic floral oils</t>
  </si>
  <si>
    <t>Mojito|Sweet Tea</t>
  </si>
  <si>
    <t>The definitive best-selling infused cigar in the United States.</t>
  </si>
  <si>
    <t>Infused with natural botanicals for an unmatched sweet aroma.</t>
  </si>
  <si>
    <t>Nub Cameroon 460</t>
  </si>
  <si>
    <t>Nub</t>
  </si>
  <si>
    <t>712345000062</t>
  </si>
  <si>
    <t>4 x 60</t>
  </si>
  <si>
    <t>Cedar|Nutty|Sweet Spice</t>
  </si>
  <si>
    <t>Sweet baking spice, cedar wood, and toasted walnut</t>
  </si>
  <si>
    <t>Coffee|Amber Ale</t>
  </si>
  <si>
    <t>Engineered to capture the sweet spot of a cigar from the first puff.</t>
  </si>
  <si>
    <t>Compact stout format with thick, creamy smoke output.</t>
  </si>
  <si>
    <t>Nub Connecticut 460</t>
  </si>
  <si>
    <t>712345000063</t>
  </si>
  <si>
    <t>Cream|Toast|Almond</t>
  </si>
  <si>
    <t>Whipped cream, warm toast, and slivered almond sweetness</t>
  </si>
  <si>
    <t>Latte|Pilsner</t>
  </si>
  <si>
    <t>Creamy Connecticut shade wrapped around full-gauge Nicaraguan filler.</t>
  </si>
  <si>
    <t>Ultra-creamy profile in a modern short-format icon.</t>
  </si>
  <si>
    <t>Rocky Patel Vintage 1990 Robusto</t>
  </si>
  <si>
    <t>Vintage 1990</t>
  </si>
  <si>
    <t>712345000064</t>
  </si>
  <si>
    <t>Honduran Broadleaf 1990</t>
  </si>
  <si>
    <t>Cocoa|Caramel|Wood</t>
  </si>
  <si>
    <t>Soft cocoa powder, light caramel, and aged cedar wood</t>
  </si>
  <si>
    <t>Features a 12-year-aged Honduran broadleaf wrapper.</t>
  </si>
  <si>
    <t>Smooth mature sweetness without any aggressive bite.</t>
  </si>
  <si>
    <t>Rocky Patel The Edge Corojo Toro</t>
  </si>
  <si>
    <t>The Edge</t>
  </si>
  <si>
    <t>712345000065</t>
  </si>
  <si>
    <t>Spice|Earth|Dark Wood</t>
  </si>
  <si>
    <t>Zesty cayenne spice, damp earth, and toasted oak</t>
  </si>
  <si>
    <t>Rye Whiskey|Stout</t>
  </si>
  <si>
    <t>Legendary budget-friendly powerhouse with huge retail popularity.</t>
  </si>
  <si>
    <t>Outstanding value for smokers craving bold raw strength.</t>
  </si>
  <si>
    <t>Perdomo 20th Anniversary Sun Grown Toro</t>
  </si>
  <si>
    <t>20th Anniversary</t>
  </si>
  <si>
    <t>712345000066</t>
  </si>
  <si>
    <t>Nicaraguan Sun Grown Habano</t>
  </si>
  <si>
    <t>6.5 x 54</t>
  </si>
  <si>
    <t>Cinnamon|Oak|Cedar</t>
  </si>
  <si>
    <t>Warm cinnamon stick, aged oak, and sweet cedar wood</t>
  </si>
  <si>
    <t>Bourbon|Dark Rum</t>
  </si>
  <si>
    <t>Aged in oak bourbon barrels following 6-8 years of leaf fermentation.</t>
  </si>
  <si>
    <t>Impeccable burn line and luscious rich room aroma.</t>
  </si>
  <si>
    <t>Ashton ESG 22-Year Salute</t>
  </si>
  <si>
    <t>Estate Sun Grown</t>
  </si>
  <si>
    <t>712345000067</t>
  </si>
  <si>
    <t>Butterscotch|Cedar|Spice</t>
  </si>
  <si>
    <t>Rich butterscotch, aromatic cedar, and complex white pepper</t>
  </si>
  <si>
    <t>Vintage Port|Single Malt</t>
  </si>
  <si>
    <t>Ultra-rare sun grown Dominican wrapper grown exclusively by Fuente.</t>
  </si>
  <si>
    <t>Coveted pinnacle of Dominican craftsmanship and refinement.</t>
  </si>
  <si>
    <t>Arturo Fuente Anejo No. 77 Shark</t>
  </si>
  <si>
    <t>Anejo</t>
  </si>
  <si>
    <t>712345000068</t>
  </si>
  <si>
    <t>Connecticut Broadleaf Maduro</t>
  </si>
  <si>
    <t>5.875 x 64</t>
  </si>
  <si>
    <t>Cognac|Dark Chocolate|Earth</t>
  </si>
  <si>
    <t>Cognac cask sweetness, bitter dark chocolate, and damp earth</t>
  </si>
  <si>
    <t>Cognac|Aged Rum</t>
  </si>
  <si>
    <t>Wrapper aged in cognac barrels; tapers from round ring to square press.</t>
  </si>
  <si>
    <t>One of the most sought-after holiday limited release vitolas.</t>
  </si>
  <si>
    <t>Padron Family Reserve No. 45 Maduro</t>
  </si>
  <si>
    <t>Family Reserve</t>
  </si>
  <si>
    <t>712345000069</t>
  </si>
  <si>
    <t>Cocoa|Leather|Espresso</t>
  </si>
  <si>
    <t>Intense dark cocoa powder, rich saddle leather, and espresso bean</t>
  </si>
  <si>
    <t>Rolled with tobaccos aged 10 full years to mark Padron's 45th anniversary.</t>
  </si>
  <si>
    <t>Sublime balance, velvety draw, and unmatched rating prestige.</t>
  </si>
  <si>
    <t>Davidoff Grand Cru No. 2</t>
  </si>
  <si>
    <t>Grand Cru</t>
  </si>
  <si>
    <t>712345000070</t>
  </si>
  <si>
    <t>5.625 x 43</t>
  </si>
  <si>
    <t>Cream|Oak|White Pepper</t>
  </si>
  <si>
    <t>Silky cream, delicate dry oak, and gentle white pepper</t>
  </si>
  <si>
    <t>Bordeaux Wine|Cappuccino</t>
  </si>
  <si>
    <t>Created to pair with the finest vintage Grand Cru Bordeaux wines.</t>
  </si>
  <si>
    <t>Benchmark consistency and sophisticated mild luxury.</t>
  </si>
  <si>
    <t>Davidoff Nicaragua Toro</t>
  </si>
  <si>
    <t>Dominican Republic / Nicaragua</t>
  </si>
  <si>
    <t>712345000071</t>
  </si>
  <si>
    <t>Nicaraguan Habano Rosado</t>
  </si>
  <si>
    <t>Nicaraguan Jalapa</t>
  </si>
  <si>
    <t>Nicaraguan Esteli/Condega/Ometepe</t>
  </si>
  <si>
    <t>Bitter Chocolate|White Pepper|Earth</t>
  </si>
  <si>
    <t>Bittersweet chocolate, white pepper kick, and rich volcanic earth</t>
  </si>
  <si>
    <t>Davidoff's first 100% Nicaraguan blend utilizing volcanic soil leaves.</t>
  </si>
  <si>
    <t>Elegance of Davidoff blended with Nicaraguan spice.</t>
  </si>
  <si>
    <t>Dunbarton Mi Querida Ancho Corto</t>
  </si>
  <si>
    <t>Mi Querida</t>
  </si>
  <si>
    <t>712345000072</t>
  </si>
  <si>
    <t>Dark Chocolate|Earth|Black Pepper</t>
  </si>
  <si>
    <t>Thick dark chocolate, damp fertile soil, and black peppercorn</t>
  </si>
  <si>
    <t>Steve Saka's personal tribute to traditional heavy broadleaf blends.</t>
  </si>
  <si>
    <t>Heavy chewy smoke with natural earthy maduro sweetness.</t>
  </si>
  <si>
    <t>RoMa Craft Neanderthal HN</t>
  </si>
  <si>
    <t>Neanderthal</t>
  </si>
  <si>
    <t>712345000073</t>
  </si>
  <si>
    <t>Dominican/Nicaraguan/Pennsylvania Green River</t>
  </si>
  <si>
    <t>5 x 52/56</t>
  </si>
  <si>
    <t>Black Pepper|Leather|Espresso</t>
  </si>
  <si>
    <t>Explosive pepper, heavy leather, and concentrated espresso crema</t>
  </si>
  <si>
    <t>Single Malt|Bourbon</t>
  </si>
  <si>
    <t>Ultra-high nicotine blend containing potent Green River double ligero leaf.</t>
  </si>
  <si>
    <t>Extreme power blended for the most seasoned smokers.</t>
  </si>
  <si>
    <t>Foundation Olmec Maduro Toro</t>
  </si>
  <si>
    <t>Olmec</t>
  </si>
  <si>
    <t>712345000074</t>
  </si>
  <si>
    <t>Mexican San Andres Maduro</t>
  </si>
  <si>
    <t>Nicaraguan Esteli/Jalapa</t>
  </si>
  <si>
    <t>Cocoa|Cacao Nibs|Leather</t>
  </si>
  <si>
    <t>Pure cacao nibs, aged saddle leather, and dark berry sweetness</t>
  </si>
  <si>
    <t>Honoring the ancient Olmec civilization with box-pressed San Andres leaf.</t>
  </si>
  <si>
    <t>Dense, satisfying chocolate notes with immaculate construction.</t>
  </si>
  <si>
    <t>Crowned Heads Jericho Hill LBV</t>
  </si>
  <si>
    <t>Jericho Hill</t>
  </si>
  <si>
    <t>712345000075</t>
  </si>
  <si>
    <t>6.5 x 46</t>
  </si>
  <si>
    <t>Black Coffee|Wood|Chili Spice</t>
  </si>
  <si>
    <t>Bitter black coffee, dry cedar wood, and subtle chili spice</t>
  </si>
  <si>
    <t>Rye Whiskey|Coffee</t>
  </si>
  <si>
    <t>Inspired by Johnny Cash's famous At Folsom Prison ballad.</t>
  </si>
  <si>
    <t>Crisp box-pressed format packing spicy punch and smooth finish.</t>
  </si>
  <si>
    <t>Warped Maestro del Tiempo 5205</t>
  </si>
  <si>
    <t>Maestro del Tiempo</t>
  </si>
  <si>
    <t>712345000076</t>
  </si>
  <si>
    <t>Lonsdale</t>
  </si>
  <si>
    <t>5.25 x 42</t>
  </si>
  <si>
    <t>Stone Fruit|Cedar|Cream</t>
  </si>
  <si>
    <t>Juicy stone fruit, fragrant cedar, and soft sweet cream</t>
  </si>
  <si>
    <t>Black Tea|Sparkling Wine</t>
  </si>
  <si>
    <t>Crafted using vintage Aganorsa tobaccos in a connoisseur's vitola.</t>
  </si>
  <si>
    <t>Nuanced floral sweetness and immaculate draw.</t>
  </si>
  <si>
    <t>Herrera Esteli Habano Toro</t>
  </si>
  <si>
    <t>Herrera Esteli</t>
  </si>
  <si>
    <t>712345000077</t>
  </si>
  <si>
    <t>Roasted Nut|Vanilla|Cedar</t>
  </si>
  <si>
    <t>Toasted almond, sweet vanilla cream, and aromatic cedar</t>
  </si>
  <si>
    <t>Bourbon|Craft Lager</t>
  </si>
  <si>
    <t>Master blender Willy Herrera's inaugural Cuban-style boutique line.</t>
  </si>
  <si>
    <t>Elegant balance of spice, sweetness, and creamy smoke.</t>
  </si>
  <si>
    <t>Don Pepin Garcia Blue Label Generosos</t>
  </si>
  <si>
    <t>Don Pepin Garcia Blue</t>
  </si>
  <si>
    <t>712345000078</t>
  </si>
  <si>
    <t>Nicaraguan Corojo 99 Oscuro</t>
  </si>
  <si>
    <t>Black Pepper|Cedar|Leather</t>
  </si>
  <si>
    <t>Signature Pepin pepper blast, aged cedar, and savory leather</t>
  </si>
  <si>
    <t>Bourbon|Double Espresso</t>
  </si>
  <si>
    <t>The foundational blend that launched Don Pepin Garcia's legendary factory.</t>
  </si>
  <si>
    <t>Unfiltered Nicaraguan spice and authentic Cuban-seed intensity.</t>
  </si>
  <si>
    <t>Jaime Garcia Reserva Especial Toro</t>
  </si>
  <si>
    <t>Jaime Garcia Reserva Especial</t>
  </si>
  <si>
    <t>712345000079</t>
  </si>
  <si>
    <t>Mocha|Dark Soil|Pepper</t>
  </si>
  <si>
    <t>Rich mocha, dark fertile soil, and black pepper spice</t>
  </si>
  <si>
    <t>Debut solo blend by master blender Jaime Garcia honoring family tradition.</t>
  </si>
  <si>
    <t>Oily dark broadleaf wrapper with massive flavor and aroma.</t>
  </si>
  <si>
    <t>La Antiguedad Robusto</t>
  </si>
  <si>
    <t>La Antiguedad</t>
  </si>
  <si>
    <t>712345000080</t>
  </si>
  <si>
    <t>Nicaraguan San Rafael/Las Quebradas</t>
  </si>
  <si>
    <t>5.25 x 52</t>
  </si>
  <si>
    <t>Cocoa|Cinnamon|Cedar</t>
  </si>
  <si>
    <t>Sweet cocoa, cinnamon warmth, and white pepper cedar</t>
  </si>
  <si>
    <t>Port Wine|Aged Rum</t>
  </si>
  <si>
    <t>Revived historic 19th-century Cuban brand featuring artwork band.</t>
  </si>
  <si>
    <t>Complex vintage tobaccos double cured for velvety smoothness.</t>
  </si>
  <si>
    <t>E.P. Carrillo Encore Majestic</t>
  </si>
  <si>
    <t>Encore</t>
  </si>
  <si>
    <t>712345000081</t>
  </si>
  <si>
    <t>Nicaraguan Condega/Esteli/Jalapa</t>
  </si>
  <si>
    <t>Caramel|Tea|Spice</t>
  </si>
  <si>
    <t>Sweet caramel, spiced black tea, and refined cedar shavings</t>
  </si>
  <si>
    <t>Cognac|Rye Whiskey</t>
  </si>
  <si>
    <t>Cigar Aficionado #1 Cigar of the Year rolled with 100% Nicaraguan tobaccos.</t>
  </si>
  <si>
    <t>Masterful fermentation producing unmatched silkiness and flavor.</t>
  </si>
  <si>
    <t>E.P. Carrillo La Historia E-III</t>
  </si>
  <si>
    <t>La Historia</t>
  </si>
  <si>
    <t>712345000082</t>
  </si>
  <si>
    <t>6.875 x 54</t>
  </si>
  <si>
    <t>Dark Chocolate|Coffee|Leather</t>
  </si>
  <si>
    <t>Bittersweet chocolate, roasted coffee crema, and aged leather</t>
  </si>
  <si>
    <t>Stout|Espresso</t>
  </si>
  <si>
    <t>Dedicated to the Perez-Carrillo family's generational cigar heritage.</t>
  </si>
  <si>
    <t>Luxurious box-press with huge smoke volume and long finish.</t>
  </si>
  <si>
    <t>Plasencia Alma del Fuego Concepcion</t>
  </si>
  <si>
    <t>Alma del Fuego</t>
  </si>
  <si>
    <t>Ometepe</t>
  </si>
  <si>
    <t>712345000083</t>
  </si>
  <si>
    <t>Nicaraguan Sun Grown Jalapa</t>
  </si>
  <si>
    <t>Nicaraguan Ometepe</t>
  </si>
  <si>
    <t>Tangerine|Spice|Wood</t>
  </si>
  <si>
    <t>Zesty tangerine citrus, sweet cinnamon spice, and charred wood</t>
  </si>
  <si>
    <t>Añejo Tequila|Bourbon</t>
  </si>
  <si>
    <t>Highlights volcanic volcanic-island Ometepe leaf known for fiery sweetness.</t>
  </si>
  <si>
    <t>Distinctive fruity spice and immaculate velvety wrapper.</t>
  </si>
  <si>
    <t>Plasencia Reserva Original Corona</t>
  </si>
  <si>
    <t>Reserva Original</t>
  </si>
  <si>
    <t>712345000084</t>
  </si>
  <si>
    <t>Nicaraguan Organic</t>
  </si>
  <si>
    <t>5.625 x 44</t>
  </si>
  <si>
    <t>Nuts|Caramel|Cedar</t>
  </si>
  <si>
    <t>Roasted marzipan, subtle sweet caramel, and cedar aroma</t>
  </si>
  <si>
    <t>Cappuccino|Pilsner</t>
  </si>
  <si>
    <t>The world's first certified 100% organic handmade cigar line.</t>
  </si>
  <si>
    <t>Pure clean taste made strictly with historical native tobaccos.</t>
  </si>
  <si>
    <t>Camacho Connecticut Robusto</t>
  </si>
  <si>
    <t>Connecticut</t>
  </si>
  <si>
    <t>712345000085</t>
  </si>
  <si>
    <t>Honduran/Dominican</t>
  </si>
  <si>
    <t>Cream|Citrus|Pepper</t>
  </si>
  <si>
    <t>Silky creaminess, crisp lemon zest, and mild pepper finish</t>
  </si>
  <si>
    <t>Blonde Ale|Iced Coffee</t>
  </si>
  <si>
    <t>High-intensity Connecticut designed for smokers wanting flavor without harshness.</t>
  </si>
  <si>
    <t>Bold flavor that redefines mild Connecticut category.</t>
  </si>
  <si>
    <t>Camacho Criollo Toro</t>
  </si>
  <si>
    <t>712345000086</t>
  </si>
  <si>
    <t>Honduran Criollo 98</t>
  </si>
  <si>
    <t>Earth|Pepper|Sweet Spice</t>
  </si>
  <si>
    <t>Tangy earth, cracked black pepper, and sweet herbal spice</t>
  </si>
  <si>
    <t>Bourbon|Pale Ale</t>
  </si>
  <si>
    <t>Sun-drenched Criollo 98 wrapper delivering signature Honduran zest.</t>
  </si>
  <si>
    <t>Great everyday medium-bodied smoke with vibrant character.</t>
  </si>
  <si>
    <t>Joya Silver Corona</t>
  </si>
  <si>
    <t>Joya Silver</t>
  </si>
  <si>
    <t>712345000087</t>
  </si>
  <si>
    <t>Dark Cocoa|Cherry|Spice</t>
  </si>
  <si>
    <t>Rich dark cocoa, dried cherry sweetness, and warming baking spice</t>
  </si>
  <si>
    <t>Port|Dark Rum</t>
  </si>
  <si>
    <t>Contemporary box-pressed blend celebrating 50 years of Nicaraguan tobacco.</t>
  </si>
  <si>
    <t>Sophisticated balance of sweet Mexican binder and rich filler.</t>
  </si>
  <si>
    <t>Punch Clasico Rothschild</t>
  </si>
  <si>
    <t>Punch</t>
  </si>
  <si>
    <t>Clasico</t>
  </si>
  <si>
    <t>712345000088</t>
  </si>
  <si>
    <t>Rothschild</t>
  </si>
  <si>
    <t>4.5 x 50</t>
  </si>
  <si>
    <t>Earth|Wood|Leather</t>
  </si>
  <si>
    <t>Robust earthy wood, aged leather, and pungent tobacco richness</t>
  </si>
  <si>
    <t>Stout|Bourbon</t>
  </si>
  <si>
    <t>One of the heritage Honduran brand staples beloved for generations.</t>
  </si>
  <si>
    <t>Classic full-bodied flavor at an approachable everyday price point.</t>
  </si>
  <si>
    <t>Punch Gran Puro Santa Rita</t>
  </si>
  <si>
    <t>Gran Puro</t>
  </si>
  <si>
    <t>712345000089</t>
  </si>
  <si>
    <t>Honduran Extra Havana</t>
  </si>
  <si>
    <t>4.5 x 52</t>
  </si>
  <si>
    <t>Molasses|Pepper|Wood</t>
  </si>
  <si>
    <t>Dark molasses sweetness, spicy black pepper, and charred oak</t>
  </si>
  <si>
    <t>Honduran puro made entirely with extra-fermented sun-grown leaves.</t>
  </si>
  <si>
    <t>Extra depth of sweet spice and dense Honduran character.</t>
  </si>
  <si>
    <t>Macanudo Inspirado Orange Robusto</t>
  </si>
  <si>
    <t>Inspirado Orange</t>
  </si>
  <si>
    <t>712345000090</t>
  </si>
  <si>
    <t>Honduran Olancho San Agustin</t>
  </si>
  <si>
    <t>Honduran Jamastran</t>
  </si>
  <si>
    <t>Dominican/Honduran/Nicaraguan</t>
  </si>
  <si>
    <t>Nutty|Caramel|Orange Peel</t>
  </si>
  <si>
    <t>Sweet citrus zest, buttery caramel, and toasted almond</t>
  </si>
  <si>
    <t>IPA|Bourbon</t>
  </si>
  <si>
    <t>Modernized blend that transitioned Macanudo into bolder flavor territory.</t>
  </si>
  <si>
    <t>Vibrant citrus notes and balanced medium-full body.</t>
  </si>
  <si>
    <t>Macanudo Inspirado Black Churchill</t>
  </si>
  <si>
    <t>Inspirado Black</t>
  </si>
  <si>
    <t>712345000091</t>
  </si>
  <si>
    <t>Nicaraguan Esteli</t>
  </si>
  <si>
    <t>Espresso|Dark Chocolate|Earth</t>
  </si>
  <si>
    <t>Concentrated espresso, bittersweet dark chocolate, and damp earth</t>
  </si>
  <si>
    <t>Imperial Stout|Single Malt</t>
  </si>
  <si>
    <t>Broadleaf wrapper ripened directly on the stalk under natural sunlight.</t>
  </si>
  <si>
    <t>Dark, decadent maduro profile with commanding length.</t>
  </si>
  <si>
    <t>Cohiba Black Supremo</t>
  </si>
  <si>
    <t>Black</t>
  </si>
  <si>
    <t>712345000092</t>
  </si>
  <si>
    <t>Dominican Piloto Cubano</t>
  </si>
  <si>
    <t>Cocoa|Wood|Leather</t>
  </si>
  <si>
    <t>Sweet cocoa, aged mahogany wood, and deep leather</t>
  </si>
  <si>
    <t>Extra-fermented Connecticut broadleaf wrapper aged three years.</t>
  </si>
  <si>
    <t>Signature luxury maduro finish with silky thick smoke.</t>
  </si>
  <si>
    <t>Cohiba Blue Robusto</t>
  </si>
  <si>
    <t>Blue</t>
  </si>
  <si>
    <t>712345000093</t>
  </si>
  <si>
    <t>Caramel|Cinnamon|Cedar</t>
  </si>
  <si>
    <t>Sweet caramel, gentle cinnamon spice, and cedar wood shavings</t>
  </si>
  <si>
    <t>Accessible everyday premium line from legendary Cohiba portfolio.</t>
  </si>
  <si>
    <t>Refined medium body with sweet velvety overtone.</t>
  </si>
  <si>
    <t>Partagas Black Label Bravo</t>
  </si>
  <si>
    <t>Black Label</t>
  </si>
  <si>
    <t>712345000094</t>
  </si>
  <si>
    <t>Connecticut Medio Tiempo</t>
  </si>
  <si>
    <t>Dominican La Vega Especial</t>
  </si>
  <si>
    <t>4.5 x 54</t>
  </si>
  <si>
    <t>Espresso|Charcoal|Earth</t>
  </si>
  <si>
    <t>Smoky charcoal, heavy dark espresso, and black pepper earth</t>
  </si>
  <si>
    <t>Rolled with sun-grown Medio Tiempo leaves picked from plant tops.</t>
  </si>
  <si>
    <t>Thick, oily wrapper producing rich, smoky maduro flavor.</t>
  </si>
  <si>
    <t>Partagas Cortado Toro</t>
  </si>
  <si>
    <t>Cortado</t>
  </si>
  <si>
    <t>712345000095</t>
  </si>
  <si>
    <t>Honduran/Mexican/Nicaraguan</t>
  </si>
  <si>
    <t>Sweet cream, buttery toast, and delicate almond shavings</t>
  </si>
  <si>
    <t>Cortado Coffee|Chardonnay</t>
  </si>
  <si>
    <t>Partagas's first Connecticut-wrapped blend crafted in Nicaragua.</t>
  </si>
  <si>
    <t>Silky smooth morning smoke that pairs flawlessly with coffee.</t>
  </si>
  <si>
    <t>Rocky Patel Sun Grown Maduro Toro</t>
  </si>
  <si>
    <t>Sun Grown Maduro</t>
  </si>
  <si>
    <t>712345000096</t>
  </si>
  <si>
    <t>Dark Chocolate|Sweet Spice|Wood</t>
  </si>
  <si>
    <t>Dark bittersweet chocolate, sweet holiday spice, and charred wood</t>
  </si>
  <si>
    <t>Cigar Aficionado #2 Cigar of the Year boasting a 95 rating.</t>
  </si>
  <si>
    <t>Superb box-pressed burn delivering deep, decadent maduro sweetness.</t>
  </si>
  <si>
    <t>Rocky Patel Disciple Robusto</t>
  </si>
  <si>
    <t>Disciple</t>
  </si>
  <si>
    <t>712345000097</t>
  </si>
  <si>
    <t>Coffee|Earth|Caramel</t>
  </si>
  <si>
    <t>Roasted coffee crema, moist earth, and brown sugar caramel</t>
  </si>
  <si>
    <t>Single Malt|Porter</t>
  </si>
  <si>
    <t>Bold San Andres maduro wrapper encasing aged Nicaraguan fillers.</t>
  </si>
  <si>
    <t>Smooth full-bodied flavor with luxurious aroma.</t>
  </si>
  <si>
    <t>Alec Bradley Black Market Toro</t>
  </si>
  <si>
    <t>Black Market</t>
  </si>
  <si>
    <t>712345000098</t>
  </si>
  <si>
    <t>Sumatran</t>
  </si>
  <si>
    <t>Honduran/Panamanian</t>
  </si>
  <si>
    <t>Peat|Toast|Sweet Spice</t>
  </si>
  <si>
    <t>Peaty earth, warm toast, and lingering sweet cinnamon spice</t>
  </si>
  <si>
    <t>Scotch|Bourbon</t>
  </si>
  <si>
    <t>Distinctive large half-wrap paper band and unique Panamanian tobacco.</t>
  </si>
  <si>
    <t>Rich, creamy smoke output with complex sweet earthiness.</t>
  </si>
  <si>
    <t>Alec Bradley Gatekeeper Corona Gorda</t>
  </si>
  <si>
    <t>Gatekeeper</t>
  </si>
  <si>
    <t>712345000099</t>
  </si>
  <si>
    <t>Cedar|Caramel|Cashew</t>
  </si>
  <si>
    <t>Sweet cedar wood, salted caramel, and roasted cashew</t>
  </si>
  <si>
    <t>Coffee|Rye Whiskey</t>
  </si>
  <si>
    <t>Collaborative masterpiece created with master blender Ernesto Perez-Carrillo.</t>
  </si>
  <si>
    <t>Outstanding 95-rated blend in a traditional connoisseur size.</t>
  </si>
  <si>
    <t>Arturo Fuente Gran Reserva Flor Fina 8-5-8</t>
  </si>
  <si>
    <t>Gran Reserva</t>
  </si>
  <si>
    <t>712345000100</t>
  </si>
  <si>
    <t>6 x 47</t>
  </si>
  <si>
    <t>Cedar|Nutmeg|Cream</t>
  </si>
  <si>
    <t>Fragrant Spanish cedar, mild nutmeg, and sweet cream finish</t>
  </si>
  <si>
    <t>Coffee|Bourbon</t>
  </si>
  <si>
    <t>One of the most famous and beloved staple cigars in the world.</t>
  </si>
  <si>
    <t>Timeless Fuente quality and effortlessly consistent draw.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</si>
</sst>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color rgb="FF000000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 style="thin">
        <color rgb="FFB7B7B7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2" numFmtId="0" xfId="0" applyFont="1"/>
  </cellXfs>
  <cellStyles count="1">
    <cellStyle xfId="0" name="Normal" builtinId="0"/>
  </cellStyles>
  <dxfs count="1">
    <dxf>
      <font>
        <b/>
        <color rgb="FFCC0000"/>
      </font>
      <fill>
        <patternFill patternType="solid">
          <fgColor rgb="FFFFCCCC"/>
          <bgColor rgb="FFFF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4.43"/>
    <col customWidth="1" min="2" max="2" width="15.57"/>
    <col customWidth="1" min="3" max="3" width="18.86"/>
    <col customWidth="1" min="4" max="4" width="20.14"/>
    <col customWidth="1" min="5" max="5" width="19.57"/>
    <col customWidth="1" min="6" max="6" width="19.14"/>
    <col customWidth="1" min="7" max="7" width="29.14"/>
    <col customWidth="1" min="8" max="8" width="50.71"/>
    <col customWidth="1" min="9" max="9" width="57.14"/>
    <col customWidth="1" min="10" max="10" width="15.86"/>
    <col customWidth="1" min="11" max="11" width="26.14"/>
    <col customWidth="1" min="12" max="12" width="11.43"/>
    <col customWidth="1" min="13" max="13" width="21.29"/>
    <col customWidth="1" min="14" max="14" width="9.29"/>
    <col customWidth="1" min="15" max="15" width="10.57"/>
    <col customWidth="1" min="16" max="16" width="10.29"/>
    <col customWidth="1" min="17" max="17" width="9.86"/>
    <col customWidth="1" min="18" max="18" width="22.29"/>
    <col customWidth="1" min="19" max="19" width="27.14"/>
    <col customWidth="1" min="20" max="20" width="46.0"/>
    <col customWidth="1" min="21" max="21" width="30.43"/>
    <col customWidth="1" min="22" max="22" width="61.14"/>
    <col customWidth="1" min="23" max="23" width="66.14"/>
    <col customWidth="1" min="24" max="25" width="20.0"/>
    <col customWidth="1" min="26" max="26" width="9.86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30</v>
      </c>
      <c r="G2" s="3" t="s">
        <v>31</v>
      </c>
      <c r="H2" s="4" t="str">
        <f>"https://" &amp; "picsum.photos/seed/cigar-1/800/600"</f>
        <v>https://picsum.photos/seed/cigar-1/800/600</v>
      </c>
      <c r="I2" s="4" t="str">
        <f>"https://" &amp; "picsum.photos/seed/cigar-1/200/200"</f>
        <v>https://picsum.photos/seed/cigar-1/200/200</v>
      </c>
      <c r="J2" s="2" t="s">
        <v>32</v>
      </c>
      <c r="K2" s="2" t="s">
        <v>33</v>
      </c>
      <c r="L2" s="2" t="s">
        <v>34</v>
      </c>
      <c r="M2" s="2" t="s">
        <v>34</v>
      </c>
      <c r="N2" s="2" t="s">
        <v>35</v>
      </c>
      <c r="O2" s="2" t="s">
        <v>36</v>
      </c>
      <c r="P2" s="2">
        <v>6.125</v>
      </c>
      <c r="Q2" s="2">
        <v>52.0</v>
      </c>
      <c r="R2" s="2">
        <v>60.0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5">
        <v>15.0</v>
      </c>
      <c r="Y2" s="5">
        <v>300.0</v>
      </c>
      <c r="Z2" s="2" t="s">
        <v>42</v>
      </c>
    </row>
    <row r="3">
      <c r="A3" s="2" t="s">
        <v>43</v>
      </c>
      <c r="B3" s="2" t="s">
        <v>44</v>
      </c>
      <c r="C3" s="2">
        <v>1875.0</v>
      </c>
      <c r="D3" s="2" t="s">
        <v>29</v>
      </c>
      <c r="E3" s="2" t="s">
        <v>30</v>
      </c>
      <c r="F3" s="2" t="s">
        <v>30</v>
      </c>
      <c r="G3" s="3" t="s">
        <v>45</v>
      </c>
      <c r="H3" s="4" t="str">
        <f>"https://" &amp; "picsum.photos/seed/cigar-2/800/600"</f>
        <v>https://picsum.photos/seed/cigar-2/800/600</v>
      </c>
      <c r="I3" s="4" t="str">
        <f>"https://" &amp; "picsum.photos/seed/cigar-2/200/200"</f>
        <v>https://picsum.photos/seed/cigar-2/200/200</v>
      </c>
      <c r="J3" s="2" t="s">
        <v>32</v>
      </c>
      <c r="K3" s="2" t="s">
        <v>46</v>
      </c>
      <c r="L3" s="2" t="s">
        <v>34</v>
      </c>
      <c r="M3" s="2" t="s">
        <v>34</v>
      </c>
      <c r="N3" s="2" t="s">
        <v>47</v>
      </c>
      <c r="O3" s="2" t="s">
        <v>48</v>
      </c>
      <c r="P3" s="2">
        <v>5.0</v>
      </c>
      <c r="Q3" s="2">
        <v>50.0</v>
      </c>
      <c r="R3" s="2">
        <v>45.0</v>
      </c>
      <c r="S3" s="2" t="s">
        <v>49</v>
      </c>
      <c r="T3" s="2" t="s">
        <v>50</v>
      </c>
      <c r="U3" s="2" t="s">
        <v>51</v>
      </c>
      <c r="V3" s="2" t="s">
        <v>52</v>
      </c>
      <c r="W3" s="2" t="s">
        <v>53</v>
      </c>
      <c r="X3" s="5">
        <v>8.5</v>
      </c>
      <c r="Y3" s="5">
        <v>170.0</v>
      </c>
      <c r="Z3" s="2" t="s">
        <v>42</v>
      </c>
    </row>
    <row r="4">
      <c r="A4" s="2" t="s">
        <v>54</v>
      </c>
      <c r="B4" s="2" t="s">
        <v>55</v>
      </c>
      <c r="C4" s="2" t="s">
        <v>56</v>
      </c>
      <c r="D4" s="2" t="s">
        <v>57</v>
      </c>
      <c r="E4" s="2" t="s">
        <v>30</v>
      </c>
      <c r="F4" s="2" t="s">
        <v>30</v>
      </c>
      <c r="G4" s="3" t="s">
        <v>58</v>
      </c>
      <c r="H4" s="4" t="str">
        <f>"https://" &amp; "picsum.photos/seed/cigar-3/800/600"</f>
        <v>https://picsum.photos/seed/cigar-3/800/600</v>
      </c>
      <c r="I4" s="4" t="str">
        <f>"https://" &amp; "picsum.photos/seed/cigar-3/200/200"</f>
        <v>https://picsum.photos/seed/cigar-3/200/200</v>
      </c>
      <c r="J4" s="2" t="s">
        <v>59</v>
      </c>
      <c r="K4" s="2" t="s">
        <v>60</v>
      </c>
      <c r="L4" s="2" t="s">
        <v>46</v>
      </c>
      <c r="M4" s="2" t="s">
        <v>34</v>
      </c>
      <c r="N4" s="2" t="s">
        <v>47</v>
      </c>
      <c r="O4" s="2" t="s">
        <v>61</v>
      </c>
      <c r="P4" s="2">
        <v>5.0</v>
      </c>
      <c r="Q4" s="2">
        <v>49.0</v>
      </c>
      <c r="R4" s="2">
        <v>45.0</v>
      </c>
      <c r="S4" s="2" t="s">
        <v>62</v>
      </c>
      <c r="T4" s="2" t="s">
        <v>63</v>
      </c>
      <c r="U4" s="2" t="s">
        <v>64</v>
      </c>
      <c r="V4" s="2" t="s">
        <v>65</v>
      </c>
      <c r="W4" s="2" t="s">
        <v>66</v>
      </c>
      <c r="X4" s="5">
        <v>20.0</v>
      </c>
      <c r="Y4" s="5">
        <v>400.0</v>
      </c>
      <c r="Z4" s="2" t="s">
        <v>42</v>
      </c>
    </row>
    <row r="5">
      <c r="A5" s="2" t="s">
        <v>67</v>
      </c>
      <c r="B5" s="2" t="s">
        <v>68</v>
      </c>
      <c r="C5" s="2" t="s">
        <v>69</v>
      </c>
      <c r="D5" s="2" t="s">
        <v>57</v>
      </c>
      <c r="E5" s="2" t="s">
        <v>30</v>
      </c>
      <c r="F5" s="2" t="s">
        <v>30</v>
      </c>
      <c r="G5" s="3" t="s">
        <v>70</v>
      </c>
      <c r="H5" s="4" t="str">
        <f>"https://" &amp; "picsum.photos/seed/cigar-4/800/600"</f>
        <v>https://picsum.photos/seed/cigar-4/800/600</v>
      </c>
      <c r="I5" s="4" t="str">
        <f>"https://" &amp; "picsum.photos/seed/cigar-4/200/200"</f>
        <v>https://picsum.photos/seed/cigar-4/200/200</v>
      </c>
      <c r="J5" s="2" t="s">
        <v>71</v>
      </c>
      <c r="K5" s="2" t="s">
        <v>33</v>
      </c>
      <c r="L5" s="2" t="s">
        <v>72</v>
      </c>
      <c r="M5" s="2" t="s">
        <v>73</v>
      </c>
      <c r="N5" s="2" t="s">
        <v>47</v>
      </c>
      <c r="O5" s="2" t="s">
        <v>74</v>
      </c>
      <c r="P5" s="2">
        <v>5.5</v>
      </c>
      <c r="Q5" s="2">
        <v>49.0</v>
      </c>
      <c r="R5" s="2">
        <v>50.0</v>
      </c>
      <c r="S5" s="2" t="s">
        <v>75</v>
      </c>
      <c r="T5" s="2" t="s">
        <v>76</v>
      </c>
      <c r="U5" s="2" t="s">
        <v>77</v>
      </c>
      <c r="V5" s="2" t="s">
        <v>78</v>
      </c>
      <c r="W5" s="2" t="s">
        <v>79</v>
      </c>
      <c r="X5" s="5">
        <v>9.0</v>
      </c>
      <c r="Y5" s="5">
        <v>180.0</v>
      </c>
      <c r="Z5" s="2" t="s">
        <v>42</v>
      </c>
    </row>
    <row r="6">
      <c r="A6" s="2" t="s">
        <v>80</v>
      </c>
      <c r="B6" s="2" t="s">
        <v>81</v>
      </c>
      <c r="C6" s="2" t="s">
        <v>82</v>
      </c>
      <c r="D6" s="2" t="s">
        <v>83</v>
      </c>
      <c r="E6" s="2" t="s">
        <v>84</v>
      </c>
      <c r="F6" s="2" t="s">
        <v>84</v>
      </c>
      <c r="G6" s="3" t="s">
        <v>85</v>
      </c>
      <c r="H6" s="4" t="str">
        <f>"https://" &amp; "picsum.photos/seed/cigar-5/800/600"</f>
        <v>https://picsum.photos/seed/cigar-5/800/600</v>
      </c>
      <c r="I6" s="4" t="str">
        <f>"https://" &amp; "picsum.photos/seed/cigar-5/200/200"</f>
        <v>https://picsum.photos/seed/cigar-5/200/200</v>
      </c>
      <c r="J6" s="2" t="s">
        <v>86</v>
      </c>
      <c r="K6" s="2" t="s">
        <v>87</v>
      </c>
      <c r="L6" s="2" t="s">
        <v>88</v>
      </c>
      <c r="M6" s="2" t="s">
        <v>88</v>
      </c>
      <c r="N6" s="2" t="s">
        <v>89</v>
      </c>
      <c r="O6" s="2" t="s">
        <v>90</v>
      </c>
      <c r="P6" s="2">
        <v>6.0</v>
      </c>
      <c r="Q6" s="2">
        <v>52.0</v>
      </c>
      <c r="R6" s="2">
        <v>75.0</v>
      </c>
      <c r="S6" s="2" t="s">
        <v>91</v>
      </c>
      <c r="T6" s="2" t="s">
        <v>92</v>
      </c>
      <c r="U6" s="2" t="s">
        <v>93</v>
      </c>
      <c r="V6" s="2" t="s">
        <v>94</v>
      </c>
      <c r="W6" s="2" t="s">
        <v>95</v>
      </c>
      <c r="X6" s="5">
        <v>12.0</v>
      </c>
      <c r="Y6" s="5">
        <v>240.0</v>
      </c>
      <c r="Z6" s="2" t="s">
        <v>42</v>
      </c>
    </row>
    <row r="7">
      <c r="A7" s="2" t="s">
        <v>96</v>
      </c>
      <c r="B7" s="2" t="s">
        <v>97</v>
      </c>
      <c r="C7" s="2" t="s">
        <v>98</v>
      </c>
      <c r="D7" s="2" t="s">
        <v>97</v>
      </c>
      <c r="E7" s="2" t="s">
        <v>30</v>
      </c>
      <c r="F7" s="2" t="s">
        <v>30</v>
      </c>
      <c r="G7" s="3" t="s">
        <v>99</v>
      </c>
      <c r="H7" s="4" t="str">
        <f>"https://" &amp; "picsum.photos/seed/cigar-6/800/600"</f>
        <v>https://picsum.photos/seed/cigar-6/800/600</v>
      </c>
      <c r="I7" s="4" t="str">
        <f>"https://" &amp; "picsum.photos/seed/cigar-6/200/200"</f>
        <v>https://picsum.photos/seed/cigar-6/200/200</v>
      </c>
      <c r="J7" s="2" t="s">
        <v>100</v>
      </c>
      <c r="K7" s="2" t="s">
        <v>101</v>
      </c>
      <c r="L7" s="2" t="s">
        <v>102</v>
      </c>
      <c r="M7" s="2" t="s">
        <v>34</v>
      </c>
      <c r="N7" s="2" t="s">
        <v>103</v>
      </c>
      <c r="O7" s="2" t="s">
        <v>104</v>
      </c>
      <c r="P7" s="2">
        <v>6.0</v>
      </c>
      <c r="Q7" s="2">
        <v>38.0</v>
      </c>
      <c r="R7" s="2">
        <v>40.0</v>
      </c>
      <c r="S7" s="2" t="s">
        <v>105</v>
      </c>
      <c r="T7" s="2" t="s">
        <v>106</v>
      </c>
      <c r="U7" s="2" t="s">
        <v>107</v>
      </c>
      <c r="V7" s="2" t="s">
        <v>108</v>
      </c>
      <c r="W7" s="2" t="s">
        <v>109</v>
      </c>
      <c r="X7" s="5">
        <v>22.0</v>
      </c>
      <c r="Y7" s="5">
        <v>440.0</v>
      </c>
      <c r="Z7" s="2" t="s">
        <v>42</v>
      </c>
    </row>
    <row r="8">
      <c r="A8" s="2" t="s">
        <v>110</v>
      </c>
      <c r="B8" s="2" t="s">
        <v>111</v>
      </c>
      <c r="C8" s="2" t="s">
        <v>112</v>
      </c>
      <c r="D8" s="2" t="s">
        <v>111</v>
      </c>
      <c r="E8" s="2" t="s">
        <v>113</v>
      </c>
      <c r="F8" s="2" t="s">
        <v>113</v>
      </c>
      <c r="G8" s="3" t="s">
        <v>114</v>
      </c>
      <c r="H8" s="4" t="str">
        <f>"https://" &amp; "picsum.photos/seed/cigar-7/800/600"</f>
        <v>https://picsum.photos/seed/cigar-7/800/600</v>
      </c>
      <c r="I8" s="4" t="str">
        <f>"https://" &amp; "picsum.photos/seed/cigar-7/200/200"</f>
        <v>https://picsum.photos/seed/cigar-7/200/200</v>
      </c>
      <c r="J8" s="2" t="s">
        <v>59</v>
      </c>
      <c r="K8" s="2" t="s">
        <v>115</v>
      </c>
      <c r="L8" s="2" t="s">
        <v>88</v>
      </c>
      <c r="M8" s="2" t="s">
        <v>88</v>
      </c>
      <c r="N8" s="2" t="s">
        <v>47</v>
      </c>
      <c r="O8" s="2" t="s">
        <v>48</v>
      </c>
      <c r="P8" s="2">
        <v>5.0</v>
      </c>
      <c r="Q8" s="2">
        <v>50.0</v>
      </c>
      <c r="R8" s="2">
        <v>45.0</v>
      </c>
      <c r="S8" s="2" t="s">
        <v>116</v>
      </c>
      <c r="T8" s="2" t="s">
        <v>117</v>
      </c>
      <c r="U8" s="2" t="s">
        <v>118</v>
      </c>
      <c r="V8" s="2" t="s">
        <v>119</v>
      </c>
      <c r="W8" s="2" t="s">
        <v>120</v>
      </c>
      <c r="X8" s="5">
        <v>11.0</v>
      </c>
      <c r="Y8" s="5">
        <v>220.0</v>
      </c>
      <c r="Z8" s="2" t="s">
        <v>42</v>
      </c>
    </row>
    <row r="9">
      <c r="A9" s="2" t="s">
        <v>121</v>
      </c>
      <c r="B9" s="2" t="s">
        <v>122</v>
      </c>
      <c r="C9" s="2" t="s">
        <v>28</v>
      </c>
      <c r="D9" s="2" t="s">
        <v>123</v>
      </c>
      <c r="E9" s="2" t="s">
        <v>30</v>
      </c>
      <c r="F9" s="2" t="s">
        <v>30</v>
      </c>
      <c r="G9" s="3" t="s">
        <v>124</v>
      </c>
      <c r="H9" s="4" t="str">
        <f>"https://" &amp; "picsum.photos/seed/cigar-8/800/600"</f>
        <v>https://picsum.photos/seed/cigar-8/800/600</v>
      </c>
      <c r="I9" s="4" t="str">
        <f>"https://" &amp; "picsum.photos/seed/cigar-8/200/200"</f>
        <v>https://picsum.photos/seed/cigar-8/200/200</v>
      </c>
      <c r="J9" s="2" t="s">
        <v>71</v>
      </c>
      <c r="K9" s="2" t="s">
        <v>33</v>
      </c>
      <c r="L9" s="2" t="s">
        <v>34</v>
      </c>
      <c r="M9" s="2" t="s">
        <v>34</v>
      </c>
      <c r="N9" s="2" t="s">
        <v>47</v>
      </c>
      <c r="O9" s="2" t="s">
        <v>48</v>
      </c>
      <c r="P9" s="2">
        <v>5.0</v>
      </c>
      <c r="Q9" s="2">
        <v>50.0</v>
      </c>
      <c r="R9" s="2">
        <v>45.0</v>
      </c>
      <c r="S9" s="2" t="s">
        <v>125</v>
      </c>
      <c r="T9" s="2" t="s">
        <v>126</v>
      </c>
      <c r="U9" s="2" t="s">
        <v>127</v>
      </c>
      <c r="V9" s="2" t="s">
        <v>128</v>
      </c>
      <c r="W9" s="2" t="s">
        <v>129</v>
      </c>
      <c r="X9" s="5">
        <v>10.5</v>
      </c>
      <c r="Y9" s="5">
        <v>210.0</v>
      </c>
      <c r="Z9" s="2" t="s">
        <v>42</v>
      </c>
    </row>
    <row r="10">
      <c r="A10" s="2" t="s">
        <v>130</v>
      </c>
      <c r="B10" s="2" t="s">
        <v>131</v>
      </c>
      <c r="C10" s="2" t="s">
        <v>132</v>
      </c>
      <c r="D10" s="2" t="s">
        <v>131</v>
      </c>
      <c r="E10" s="2" t="s">
        <v>84</v>
      </c>
      <c r="F10" s="2" t="s">
        <v>84</v>
      </c>
      <c r="G10" s="3" t="s">
        <v>133</v>
      </c>
      <c r="H10" s="4" t="str">
        <f>"https://" &amp; "picsum.photos/seed/cigar-9/800/600"</f>
        <v>https://picsum.photos/seed/cigar-9/800/600</v>
      </c>
      <c r="I10" s="4" t="str">
        <f>"https://" &amp; "picsum.photos/seed/cigar-9/200/200"</f>
        <v>https://picsum.photos/seed/cigar-9/200/200</v>
      </c>
      <c r="J10" s="2" t="s">
        <v>86</v>
      </c>
      <c r="K10" s="2" t="s">
        <v>134</v>
      </c>
      <c r="L10" s="2" t="s">
        <v>135</v>
      </c>
      <c r="M10" s="2" t="s">
        <v>136</v>
      </c>
      <c r="N10" s="2" t="s">
        <v>89</v>
      </c>
      <c r="O10" s="2" t="s">
        <v>90</v>
      </c>
      <c r="P10" s="2">
        <v>6.0</v>
      </c>
      <c r="Q10" s="2">
        <v>52.0</v>
      </c>
      <c r="R10" s="2">
        <v>75.0</v>
      </c>
      <c r="S10" s="2" t="s">
        <v>137</v>
      </c>
      <c r="T10" s="2" t="s">
        <v>138</v>
      </c>
      <c r="U10" s="2" t="s">
        <v>139</v>
      </c>
      <c r="V10" s="2" t="s">
        <v>140</v>
      </c>
      <c r="W10" s="2" t="s">
        <v>141</v>
      </c>
      <c r="X10" s="5">
        <v>17.0</v>
      </c>
      <c r="Y10" s="5">
        <v>340.0</v>
      </c>
      <c r="Z10" s="2" t="s">
        <v>42</v>
      </c>
    </row>
    <row r="11">
      <c r="A11" s="2" t="s">
        <v>142</v>
      </c>
      <c r="B11" s="2" t="s">
        <v>143</v>
      </c>
      <c r="C11" s="2" t="s">
        <v>144</v>
      </c>
      <c r="D11" s="2" t="s">
        <v>143</v>
      </c>
      <c r="E11" s="2" t="s">
        <v>84</v>
      </c>
      <c r="F11" s="2" t="s">
        <v>84</v>
      </c>
      <c r="G11" s="3" t="s">
        <v>145</v>
      </c>
      <c r="H11" s="4" t="str">
        <f>"https://" &amp; "picsum.photos/seed/cigar-10/800/600"</f>
        <v>https://picsum.photos/seed/cigar-10/800/600</v>
      </c>
      <c r="I11" s="4" t="str">
        <f>"https://" &amp; "picsum.photos/seed/cigar-10/200/200"</f>
        <v>https://picsum.photos/seed/cigar-10/200/200</v>
      </c>
      <c r="J11" s="2" t="s">
        <v>100</v>
      </c>
      <c r="K11" s="2" t="s">
        <v>101</v>
      </c>
      <c r="L11" s="2" t="s">
        <v>88</v>
      </c>
      <c r="M11" s="2" t="s">
        <v>88</v>
      </c>
      <c r="N11" s="2" t="s">
        <v>146</v>
      </c>
      <c r="O11" s="2" t="s">
        <v>147</v>
      </c>
      <c r="P11" s="2">
        <v>6.0</v>
      </c>
      <c r="Q11" s="2">
        <v>54.0</v>
      </c>
      <c r="R11" s="2">
        <v>60.0</v>
      </c>
      <c r="S11" s="2" t="s">
        <v>148</v>
      </c>
      <c r="T11" s="2" t="s">
        <v>149</v>
      </c>
      <c r="U11" s="2" t="s">
        <v>150</v>
      </c>
      <c r="V11" s="2" t="s">
        <v>151</v>
      </c>
      <c r="W11" s="2" t="s">
        <v>152</v>
      </c>
      <c r="X11" s="5">
        <v>9.5</v>
      </c>
      <c r="Y11" s="5">
        <v>190.0</v>
      </c>
      <c r="Z11" s="2" t="s">
        <v>42</v>
      </c>
    </row>
    <row r="12">
      <c r="A12" s="2" t="s">
        <v>153</v>
      </c>
      <c r="B12" s="2" t="s">
        <v>123</v>
      </c>
      <c r="C12" s="2" t="s">
        <v>154</v>
      </c>
      <c r="D12" s="2" t="s">
        <v>123</v>
      </c>
      <c r="E12" s="2" t="s">
        <v>30</v>
      </c>
      <c r="F12" s="2" t="s">
        <v>155</v>
      </c>
      <c r="G12" s="3" t="s">
        <v>156</v>
      </c>
      <c r="H12" s="4" t="str">
        <f>"https://" &amp; "picsum.photos/seed/cigar-11/800/600"</f>
        <v>https://picsum.photos/seed/cigar-11/800/600</v>
      </c>
      <c r="I12" s="4" t="str">
        <f>"https://" &amp; "picsum.photos/seed/cigar-11/200/200"</f>
        <v>https://picsum.photos/seed/cigar-11/200/200</v>
      </c>
      <c r="J12" s="2" t="s">
        <v>86</v>
      </c>
      <c r="K12" s="2" t="s">
        <v>157</v>
      </c>
      <c r="L12" s="2" t="s">
        <v>34</v>
      </c>
      <c r="M12" s="2" t="s">
        <v>34</v>
      </c>
      <c r="N12" s="2" t="s">
        <v>158</v>
      </c>
      <c r="O12" s="2" t="s">
        <v>159</v>
      </c>
      <c r="P12" s="2">
        <v>5.625</v>
      </c>
      <c r="Q12" s="2">
        <v>46.0</v>
      </c>
      <c r="R12" s="2">
        <v>55.0</v>
      </c>
      <c r="S12" s="2" t="s">
        <v>160</v>
      </c>
      <c r="T12" s="2" t="s">
        <v>161</v>
      </c>
      <c r="U12" s="2" t="s">
        <v>162</v>
      </c>
      <c r="V12" s="2" t="s">
        <v>163</v>
      </c>
      <c r="W12" s="2" t="s">
        <v>164</v>
      </c>
      <c r="X12" s="5">
        <v>32.0</v>
      </c>
      <c r="Y12" s="5">
        <v>640.0</v>
      </c>
      <c r="Z12" s="2" t="s">
        <v>42</v>
      </c>
    </row>
    <row r="13">
      <c r="A13" s="2" t="s">
        <v>165</v>
      </c>
      <c r="B13" s="2" t="s">
        <v>166</v>
      </c>
      <c r="C13" s="2" t="s">
        <v>167</v>
      </c>
      <c r="D13" s="2" t="s">
        <v>166</v>
      </c>
      <c r="E13" s="2" t="s">
        <v>84</v>
      </c>
      <c r="F13" s="2" t="s">
        <v>168</v>
      </c>
      <c r="G13" s="3" t="s">
        <v>169</v>
      </c>
      <c r="H13" s="4" t="str">
        <f>"https://" &amp; "picsum.photos/seed/cigar-12/800/600"</f>
        <v>https://picsum.photos/seed/cigar-12/800/600</v>
      </c>
      <c r="I13" s="4" t="str">
        <f>"https://" &amp; "picsum.photos/seed/cigar-12/200/200"</f>
        <v>https://picsum.photos/seed/cigar-12/200/200</v>
      </c>
      <c r="J13" s="2" t="s">
        <v>59</v>
      </c>
      <c r="K13" s="2" t="s">
        <v>170</v>
      </c>
      <c r="L13" s="2" t="s">
        <v>88</v>
      </c>
      <c r="M13" s="2" t="s">
        <v>88</v>
      </c>
      <c r="N13" s="2" t="s">
        <v>47</v>
      </c>
      <c r="O13" s="2" t="s">
        <v>171</v>
      </c>
      <c r="P13" s="2">
        <v>5.5</v>
      </c>
      <c r="Q13" s="2">
        <v>50.0</v>
      </c>
      <c r="R13" s="2">
        <v>50.0</v>
      </c>
      <c r="S13" s="2" t="s">
        <v>172</v>
      </c>
      <c r="T13" s="2" t="s">
        <v>173</v>
      </c>
      <c r="U13" s="2" t="s">
        <v>174</v>
      </c>
      <c r="V13" s="2" t="s">
        <v>175</v>
      </c>
      <c r="W13" s="2" t="s">
        <v>176</v>
      </c>
      <c r="X13" s="5">
        <v>14.5</v>
      </c>
      <c r="Y13" s="5">
        <v>362.5</v>
      </c>
      <c r="Z13" s="2" t="s">
        <v>42</v>
      </c>
    </row>
    <row r="14">
      <c r="A14" s="2" t="s">
        <v>177</v>
      </c>
      <c r="B14" s="2" t="s">
        <v>178</v>
      </c>
      <c r="C14" s="2" t="s">
        <v>179</v>
      </c>
      <c r="D14" s="2" t="s">
        <v>180</v>
      </c>
      <c r="E14" s="2" t="s">
        <v>84</v>
      </c>
      <c r="F14" s="2" t="s">
        <v>181</v>
      </c>
      <c r="G14" s="3" t="s">
        <v>182</v>
      </c>
      <c r="H14" s="4" t="str">
        <f>"https://" &amp; "picsum.photos/seed/cigar-13/800/600"</f>
        <v>https://picsum.photos/seed/cigar-13/800/600</v>
      </c>
      <c r="I14" s="4" t="str">
        <f>"https://" &amp; "picsum.photos/seed/cigar-13/200/200"</f>
        <v>https://picsum.photos/seed/cigar-13/200/200</v>
      </c>
      <c r="J14" s="2" t="s">
        <v>86</v>
      </c>
      <c r="K14" s="2" t="s">
        <v>115</v>
      </c>
      <c r="L14" s="2" t="s">
        <v>88</v>
      </c>
      <c r="M14" s="2" t="s">
        <v>183</v>
      </c>
      <c r="N14" s="2" t="s">
        <v>184</v>
      </c>
      <c r="O14" s="2" t="s">
        <v>185</v>
      </c>
      <c r="P14" s="2">
        <v>6.5</v>
      </c>
      <c r="Q14" s="2">
        <v>52.0</v>
      </c>
      <c r="R14" s="2">
        <v>70.0</v>
      </c>
      <c r="S14" s="2" t="s">
        <v>186</v>
      </c>
      <c r="T14" s="2" t="s">
        <v>187</v>
      </c>
      <c r="U14" s="2" t="s">
        <v>188</v>
      </c>
      <c r="V14" s="2" t="s">
        <v>189</v>
      </c>
      <c r="W14" s="2" t="s">
        <v>190</v>
      </c>
      <c r="X14" s="5">
        <v>16.0</v>
      </c>
      <c r="Y14" s="5">
        <v>160.0</v>
      </c>
      <c r="Z14" s="2" t="s">
        <v>42</v>
      </c>
    </row>
    <row r="15">
      <c r="A15" s="2" t="s">
        <v>191</v>
      </c>
      <c r="B15" s="2" t="s">
        <v>192</v>
      </c>
      <c r="C15" s="2" t="s">
        <v>146</v>
      </c>
      <c r="D15" s="2" t="s">
        <v>193</v>
      </c>
      <c r="E15" s="2" t="s">
        <v>194</v>
      </c>
      <c r="F15" s="2" t="s">
        <v>195</v>
      </c>
      <c r="G15" s="3" t="s">
        <v>196</v>
      </c>
      <c r="H15" s="4" t="str">
        <f>"https://" &amp; "picsum.photos/seed/cigar-14/800/600"</f>
        <v>https://picsum.photos/seed/cigar-14/800/600</v>
      </c>
      <c r="I15" s="4" t="str">
        <f>"https://" &amp; "picsum.photos/seed/cigar-14/200/200"</f>
        <v>https://picsum.photos/seed/cigar-14/200/200</v>
      </c>
      <c r="J15" s="2" t="s">
        <v>100</v>
      </c>
      <c r="K15" s="2" t="s">
        <v>197</v>
      </c>
      <c r="L15" s="2" t="s">
        <v>197</v>
      </c>
      <c r="M15" s="2" t="s">
        <v>197</v>
      </c>
      <c r="N15" s="2" t="s">
        <v>47</v>
      </c>
      <c r="O15" s="2" t="s">
        <v>198</v>
      </c>
      <c r="P15" s="2">
        <v>4.875</v>
      </c>
      <c r="Q15" s="2">
        <v>50.0</v>
      </c>
      <c r="R15" s="2">
        <v>45.0</v>
      </c>
      <c r="S15" s="2" t="s">
        <v>199</v>
      </c>
      <c r="T15" s="2" t="s">
        <v>200</v>
      </c>
      <c r="U15" s="2" t="s">
        <v>201</v>
      </c>
      <c r="V15" s="2" t="s">
        <v>202</v>
      </c>
      <c r="W15" s="2" t="s">
        <v>203</v>
      </c>
      <c r="X15" s="5">
        <v>24.0</v>
      </c>
      <c r="Y15" s="5">
        <v>600.0</v>
      </c>
      <c r="Z15" s="2" t="s">
        <v>42</v>
      </c>
    </row>
    <row r="16">
      <c r="A16" s="2" t="s">
        <v>204</v>
      </c>
      <c r="B16" s="2" t="s">
        <v>205</v>
      </c>
      <c r="C16" s="2" t="s">
        <v>206</v>
      </c>
      <c r="D16" s="2" t="s">
        <v>193</v>
      </c>
      <c r="E16" s="2" t="s">
        <v>194</v>
      </c>
      <c r="F16" s="2" t="s">
        <v>195</v>
      </c>
      <c r="G16" s="3" t="s">
        <v>207</v>
      </c>
      <c r="H16" s="4" t="str">
        <f>"https://" &amp; "picsum.photos/seed/cigar-15/800/600"</f>
        <v>https://picsum.photos/seed/cigar-15/800/600</v>
      </c>
      <c r="I16" s="4" t="str">
        <f>"https://" &amp; "picsum.photos/seed/cigar-15/200/200"</f>
        <v>https://picsum.photos/seed/cigar-15/200/200</v>
      </c>
      <c r="J16" s="2" t="s">
        <v>86</v>
      </c>
      <c r="K16" s="2" t="s">
        <v>197</v>
      </c>
      <c r="L16" s="2" t="s">
        <v>197</v>
      </c>
      <c r="M16" s="2" t="s">
        <v>197</v>
      </c>
      <c r="N16" s="2" t="s">
        <v>47</v>
      </c>
      <c r="O16" s="2" t="s">
        <v>198</v>
      </c>
      <c r="P16" s="2">
        <v>4.875</v>
      </c>
      <c r="Q16" s="2">
        <v>50.0</v>
      </c>
      <c r="R16" s="2">
        <v>50.0</v>
      </c>
      <c r="S16" s="2" t="s">
        <v>208</v>
      </c>
      <c r="T16" s="2" t="s">
        <v>209</v>
      </c>
      <c r="U16" s="2" t="s">
        <v>210</v>
      </c>
      <c r="V16" s="2" t="s">
        <v>211</v>
      </c>
      <c r="W16" s="2" t="s">
        <v>212</v>
      </c>
      <c r="X16" s="5">
        <v>26.0</v>
      </c>
      <c r="Y16" s="5">
        <v>650.0</v>
      </c>
      <c r="Z16" s="2" t="s">
        <v>42</v>
      </c>
    </row>
    <row r="17">
      <c r="A17" s="2" t="s">
        <v>213</v>
      </c>
      <c r="B17" s="2" t="s">
        <v>81</v>
      </c>
      <c r="C17" s="2" t="s">
        <v>214</v>
      </c>
      <c r="D17" s="2" t="s">
        <v>83</v>
      </c>
      <c r="E17" s="2" t="s">
        <v>84</v>
      </c>
      <c r="F17" s="2" t="s">
        <v>168</v>
      </c>
      <c r="G17" s="3" t="s">
        <v>215</v>
      </c>
      <c r="H17" s="4" t="str">
        <f>"https://" &amp; "picsum.photos/seed/cigar-16/800/600"</f>
        <v>https://picsum.photos/seed/cigar-16/800/600</v>
      </c>
      <c r="I17" s="4" t="str">
        <f>"https://" &amp; "picsum.photos/seed/cigar-16/200/200"</f>
        <v>https://picsum.photos/seed/cigar-16/200/200</v>
      </c>
      <c r="J17" s="2" t="s">
        <v>59</v>
      </c>
      <c r="K17" s="2" t="s">
        <v>216</v>
      </c>
      <c r="L17" s="2" t="s">
        <v>88</v>
      </c>
      <c r="M17" s="2" t="s">
        <v>88</v>
      </c>
      <c r="N17" s="2" t="s">
        <v>89</v>
      </c>
      <c r="O17" s="2" t="s">
        <v>90</v>
      </c>
      <c r="P17" s="2">
        <v>6.0</v>
      </c>
      <c r="Q17" s="2">
        <v>52.0</v>
      </c>
      <c r="R17" s="2">
        <v>65.0</v>
      </c>
      <c r="S17" s="2" t="s">
        <v>217</v>
      </c>
      <c r="T17" s="2" t="s">
        <v>218</v>
      </c>
      <c r="U17" s="2" t="s">
        <v>219</v>
      </c>
      <c r="V17" s="2" t="s">
        <v>220</v>
      </c>
      <c r="W17" s="2" t="s">
        <v>221</v>
      </c>
      <c r="X17" s="5">
        <v>11.0</v>
      </c>
      <c r="Y17" s="5">
        <v>220.0</v>
      </c>
      <c r="Z17" s="2" t="s">
        <v>42</v>
      </c>
    </row>
    <row r="18" ht="15.75" customHeight="1">
      <c r="A18" s="2" t="s">
        <v>222</v>
      </c>
      <c r="B18" s="2" t="s">
        <v>223</v>
      </c>
      <c r="C18" s="2" t="s">
        <v>224</v>
      </c>
      <c r="D18" s="2" t="s">
        <v>225</v>
      </c>
      <c r="E18" s="2" t="s">
        <v>113</v>
      </c>
      <c r="F18" s="2" t="s">
        <v>226</v>
      </c>
      <c r="G18" s="3" t="s">
        <v>227</v>
      </c>
      <c r="H18" s="4" t="str">
        <f>"https://" &amp; "picsum.photos/seed/cigar-17/800/600"</f>
        <v>https://picsum.photos/seed/cigar-17/800/600</v>
      </c>
      <c r="I18" s="4" t="str">
        <f>"https://" &amp; "picsum.photos/seed/cigar-17/200/200"</f>
        <v>https://picsum.photos/seed/cigar-17/200/200</v>
      </c>
      <c r="J18" s="2" t="s">
        <v>86</v>
      </c>
      <c r="K18" s="2" t="s">
        <v>228</v>
      </c>
      <c r="L18" s="2" t="s">
        <v>88</v>
      </c>
      <c r="M18" s="2" t="s">
        <v>136</v>
      </c>
      <c r="N18" s="2" t="s">
        <v>229</v>
      </c>
      <c r="O18" s="2" t="s">
        <v>230</v>
      </c>
      <c r="P18" s="2">
        <v>7.0</v>
      </c>
      <c r="Q18" s="2">
        <v>48.0</v>
      </c>
      <c r="R18" s="2">
        <v>80.0</v>
      </c>
      <c r="S18" s="2" t="s">
        <v>231</v>
      </c>
      <c r="T18" s="2" t="s">
        <v>232</v>
      </c>
      <c r="U18" s="2" t="s">
        <v>233</v>
      </c>
      <c r="V18" s="2" t="s">
        <v>234</v>
      </c>
      <c r="W18" s="2" t="s">
        <v>235</v>
      </c>
      <c r="X18" s="5">
        <v>13.5</v>
      </c>
      <c r="Y18" s="5">
        <v>270.0</v>
      </c>
      <c r="Z18" s="2" t="s">
        <v>42</v>
      </c>
    </row>
    <row r="19" ht="15.75" customHeight="1">
      <c r="A19" s="2" t="s">
        <v>236</v>
      </c>
      <c r="B19" s="2" t="s">
        <v>237</v>
      </c>
      <c r="C19" s="2" t="s">
        <v>238</v>
      </c>
      <c r="D19" s="2" t="s">
        <v>239</v>
      </c>
      <c r="E19" s="2" t="s">
        <v>30</v>
      </c>
      <c r="F19" s="2" t="s">
        <v>240</v>
      </c>
      <c r="G19" s="3" t="s">
        <v>241</v>
      </c>
      <c r="H19" s="4" t="str">
        <f>"https://" &amp; "picsum.photos/seed/cigar-18/800/600"</f>
        <v>https://picsum.photos/seed/cigar-18/800/600</v>
      </c>
      <c r="I19" s="4" t="str">
        <f>"https://" &amp; "picsum.photos/seed/cigar-18/200/200"</f>
        <v>https://picsum.photos/seed/cigar-18/200/200</v>
      </c>
      <c r="J19" s="2" t="s">
        <v>59</v>
      </c>
      <c r="K19" s="2" t="s">
        <v>242</v>
      </c>
      <c r="L19" s="2" t="s">
        <v>102</v>
      </c>
      <c r="M19" s="2" t="s">
        <v>88</v>
      </c>
      <c r="N19" s="2" t="s">
        <v>47</v>
      </c>
      <c r="O19" s="2" t="s">
        <v>48</v>
      </c>
      <c r="P19" s="2">
        <v>5.0</v>
      </c>
      <c r="Q19" s="2">
        <v>50.0</v>
      </c>
      <c r="R19" s="2">
        <v>50.0</v>
      </c>
      <c r="S19" s="2" t="s">
        <v>243</v>
      </c>
      <c r="T19" s="2" t="s">
        <v>244</v>
      </c>
      <c r="U19" s="2" t="s">
        <v>245</v>
      </c>
      <c r="V19" s="2" t="s">
        <v>246</v>
      </c>
      <c r="W19" s="2" t="s">
        <v>247</v>
      </c>
      <c r="X19" s="5">
        <v>12.5</v>
      </c>
      <c r="Y19" s="5">
        <v>250.0</v>
      </c>
      <c r="Z19" s="2" t="s">
        <v>42</v>
      </c>
    </row>
    <row r="20" ht="15.75" customHeight="1">
      <c r="A20" s="2" t="s">
        <v>248</v>
      </c>
      <c r="B20" s="2" t="s">
        <v>249</v>
      </c>
      <c r="C20" s="2" t="s">
        <v>250</v>
      </c>
      <c r="D20" s="2" t="s">
        <v>251</v>
      </c>
      <c r="E20" s="2" t="s">
        <v>84</v>
      </c>
      <c r="F20" s="2" t="s">
        <v>168</v>
      </c>
      <c r="G20" s="3" t="s">
        <v>252</v>
      </c>
      <c r="H20" s="4" t="str">
        <f>"https://" &amp; "picsum.photos/seed/cigar-19/800/600"</f>
        <v>https://picsum.photos/seed/cigar-19/800/600</v>
      </c>
      <c r="I20" s="4" t="str">
        <f>"https://" &amp; "picsum.photos/seed/cigar-19/200/200"</f>
        <v>https://picsum.photos/seed/cigar-19/200/200</v>
      </c>
      <c r="J20" s="2" t="s">
        <v>86</v>
      </c>
      <c r="K20" s="2" t="s">
        <v>253</v>
      </c>
      <c r="L20" s="2" t="s">
        <v>88</v>
      </c>
      <c r="M20" s="2" t="s">
        <v>88</v>
      </c>
      <c r="N20" s="2" t="s">
        <v>254</v>
      </c>
      <c r="O20" s="2" t="s">
        <v>255</v>
      </c>
      <c r="P20" s="2">
        <v>7.0</v>
      </c>
      <c r="Q20" s="2">
        <v>58.0</v>
      </c>
      <c r="R20" s="2">
        <v>90.0</v>
      </c>
      <c r="S20" s="2" t="s">
        <v>256</v>
      </c>
      <c r="T20" s="2" t="s">
        <v>257</v>
      </c>
      <c r="U20" s="2" t="s">
        <v>258</v>
      </c>
      <c r="V20" s="2" t="s">
        <v>259</v>
      </c>
      <c r="W20" s="2" t="s">
        <v>260</v>
      </c>
      <c r="X20" s="5">
        <v>23.0</v>
      </c>
      <c r="Y20" s="5">
        <v>230.0</v>
      </c>
      <c r="Z20" s="2" t="s">
        <v>42</v>
      </c>
    </row>
    <row r="21" ht="15.75" customHeight="1">
      <c r="A21" s="2" t="s">
        <v>261</v>
      </c>
      <c r="B21" s="2" t="s">
        <v>262</v>
      </c>
      <c r="C21" s="2" t="s">
        <v>263</v>
      </c>
      <c r="D21" s="2" t="s">
        <v>264</v>
      </c>
      <c r="E21" s="2" t="s">
        <v>84</v>
      </c>
      <c r="F21" s="2" t="s">
        <v>168</v>
      </c>
      <c r="G21" s="3" t="s">
        <v>265</v>
      </c>
      <c r="H21" s="4" t="str">
        <f>"https://" &amp; "picsum.photos/seed/cigar-20/800/600"</f>
        <v>https://picsum.photos/seed/cigar-20/800/600</v>
      </c>
      <c r="I21" s="4" t="str">
        <f>"https://" &amp; "picsum.photos/seed/cigar-20/200/200"</f>
        <v>https://picsum.photos/seed/cigar-20/200/200</v>
      </c>
      <c r="J21" s="2" t="s">
        <v>86</v>
      </c>
      <c r="K21" s="2" t="s">
        <v>266</v>
      </c>
      <c r="L21" s="2" t="s">
        <v>88</v>
      </c>
      <c r="M21" s="2" t="s">
        <v>88</v>
      </c>
      <c r="N21" s="2" t="s">
        <v>35</v>
      </c>
      <c r="O21" s="2" t="s">
        <v>90</v>
      </c>
      <c r="P21" s="2">
        <v>6.0</v>
      </c>
      <c r="Q21" s="2">
        <v>52.0</v>
      </c>
      <c r="R21" s="2">
        <v>70.0</v>
      </c>
      <c r="S21" s="2" t="s">
        <v>267</v>
      </c>
      <c r="T21" s="2" t="s">
        <v>268</v>
      </c>
      <c r="U21" s="2" t="s">
        <v>269</v>
      </c>
      <c r="V21" s="2" t="s">
        <v>270</v>
      </c>
      <c r="W21" s="2" t="s">
        <v>271</v>
      </c>
      <c r="X21" s="5">
        <v>14.0</v>
      </c>
      <c r="Y21" s="5">
        <v>280.0</v>
      </c>
      <c r="Z21" s="2" t="s">
        <v>42</v>
      </c>
    </row>
    <row r="22" ht="15.75" customHeight="1">
      <c r="A22" s="2" t="s">
        <v>272</v>
      </c>
      <c r="B22" s="2" t="s">
        <v>123</v>
      </c>
      <c r="C22" s="2" t="s">
        <v>273</v>
      </c>
      <c r="D22" s="2" t="s">
        <v>123</v>
      </c>
      <c r="E22" s="2" t="s">
        <v>30</v>
      </c>
      <c r="F22" s="2" t="s">
        <v>155</v>
      </c>
      <c r="G22" s="6" t="s">
        <v>274</v>
      </c>
      <c r="H22" s="4" t="str">
        <f>"https://" &amp; "picsum.photos/seed/cigar-21/800/600"</f>
        <v>https://picsum.photos/seed/cigar-21/800/600</v>
      </c>
      <c r="I22" s="4" t="str">
        <f>"https://" &amp; "picsum.photos/seed/cigar-21/200/200"</f>
        <v>https://picsum.photos/seed/cigar-21/200/200</v>
      </c>
      <c r="J22" s="2" t="s">
        <v>32</v>
      </c>
      <c r="K22" s="2" t="s">
        <v>60</v>
      </c>
      <c r="L22" s="2" t="s">
        <v>34</v>
      </c>
      <c r="M22" s="2" t="s">
        <v>34</v>
      </c>
      <c r="N22" s="2" t="s">
        <v>275</v>
      </c>
      <c r="O22" s="2" t="s">
        <v>276</v>
      </c>
      <c r="P22" s="2">
        <v>4.0</v>
      </c>
      <c r="Q22" s="2">
        <v>49.0</v>
      </c>
      <c r="R22" s="2">
        <v>35.0</v>
      </c>
      <c r="S22" s="2" t="s">
        <v>277</v>
      </c>
      <c r="T22" s="2" t="s">
        <v>278</v>
      </c>
      <c r="U22" s="2" t="s">
        <v>279</v>
      </c>
      <c r="V22" s="2" t="s">
        <v>280</v>
      </c>
      <c r="W22" s="2" t="s">
        <v>281</v>
      </c>
      <c r="X22" s="5">
        <v>8.5</v>
      </c>
      <c r="Y22" s="5">
        <v>212.5</v>
      </c>
      <c r="Z22" s="2" t="s">
        <v>42</v>
      </c>
    </row>
    <row r="23" ht="15.75" customHeight="1">
      <c r="A23" s="2" t="s">
        <v>282</v>
      </c>
      <c r="B23" s="2" t="s">
        <v>166</v>
      </c>
      <c r="C23" s="2" t="s">
        <v>283</v>
      </c>
      <c r="D23" s="2" t="s">
        <v>166</v>
      </c>
      <c r="E23" s="2" t="s">
        <v>84</v>
      </c>
      <c r="F23" s="2" t="s">
        <v>168</v>
      </c>
      <c r="G23" s="6" t="s">
        <v>284</v>
      </c>
      <c r="H23" s="4" t="str">
        <f>"https://" &amp; "picsum.photos/seed/cigar-22/800/600"</f>
        <v>https://picsum.photos/seed/cigar-22/800/600</v>
      </c>
      <c r="I23" s="4" t="str">
        <f>"https://" &amp; "picsum.photos/seed/cigar-22/200/200"</f>
        <v>https://picsum.photos/seed/cigar-22/200/200</v>
      </c>
      <c r="J23" s="2" t="s">
        <v>86</v>
      </c>
      <c r="K23" s="2" t="s">
        <v>183</v>
      </c>
      <c r="L23" s="2" t="s">
        <v>88</v>
      </c>
      <c r="M23" s="2" t="s">
        <v>88</v>
      </c>
      <c r="N23" s="2" t="s">
        <v>47</v>
      </c>
      <c r="O23" s="2" t="s">
        <v>285</v>
      </c>
      <c r="P23" s="2">
        <v>5.25</v>
      </c>
      <c r="Q23" s="2">
        <v>56.0</v>
      </c>
      <c r="R23" s="2">
        <v>60.0</v>
      </c>
      <c r="S23" s="2" t="s">
        <v>286</v>
      </c>
      <c r="T23" s="2" t="s">
        <v>287</v>
      </c>
      <c r="U23" s="2" t="s">
        <v>288</v>
      </c>
      <c r="V23" s="2" t="s">
        <v>289</v>
      </c>
      <c r="W23" s="2" t="s">
        <v>290</v>
      </c>
      <c r="X23" s="5">
        <v>22.5</v>
      </c>
      <c r="Y23" s="5">
        <v>540.0</v>
      </c>
      <c r="Z23" s="2" t="s">
        <v>42</v>
      </c>
    </row>
    <row r="24" ht="15.75" customHeight="1">
      <c r="A24" s="2" t="s">
        <v>291</v>
      </c>
      <c r="B24" s="2" t="s">
        <v>122</v>
      </c>
      <c r="C24" s="2" t="s">
        <v>292</v>
      </c>
      <c r="D24" s="2" t="s">
        <v>123</v>
      </c>
      <c r="E24" s="2" t="s">
        <v>30</v>
      </c>
      <c r="F24" s="2" t="s">
        <v>155</v>
      </c>
      <c r="G24" s="6" t="s">
        <v>293</v>
      </c>
      <c r="H24" s="4" t="str">
        <f>"https://" &amp; "picsum.photos/seed/cigar-23/800/600"</f>
        <v>https://picsum.photos/seed/cigar-23/800/600</v>
      </c>
      <c r="I24" s="4" t="str">
        <f>"https://" &amp; "picsum.photos/seed/cigar-23/200/200"</f>
        <v>https://picsum.photos/seed/cigar-23/200/200</v>
      </c>
      <c r="J24" s="2" t="s">
        <v>86</v>
      </c>
      <c r="K24" s="2" t="s">
        <v>294</v>
      </c>
      <c r="L24" s="2" t="s">
        <v>34</v>
      </c>
      <c r="M24" s="2" t="s">
        <v>34</v>
      </c>
      <c r="N24" s="2" t="s">
        <v>35</v>
      </c>
      <c r="O24" s="2" t="s">
        <v>295</v>
      </c>
      <c r="P24" s="2">
        <v>6.5</v>
      </c>
      <c r="Q24" s="2">
        <v>55.0</v>
      </c>
      <c r="R24" s="2">
        <v>75.0</v>
      </c>
      <c r="S24" s="2" t="s">
        <v>296</v>
      </c>
      <c r="T24" s="2" t="s">
        <v>297</v>
      </c>
      <c r="U24" s="2" t="s">
        <v>298</v>
      </c>
      <c r="V24" s="2" t="s">
        <v>299</v>
      </c>
      <c r="W24" s="2" t="s">
        <v>300</v>
      </c>
      <c r="X24" s="5">
        <v>16.5</v>
      </c>
      <c r="Y24" s="5">
        <v>396.0</v>
      </c>
      <c r="Z24" s="2" t="s">
        <v>42</v>
      </c>
    </row>
    <row r="25" ht="15.75" customHeight="1">
      <c r="A25" s="2" t="s">
        <v>301</v>
      </c>
      <c r="B25" s="2" t="s">
        <v>97</v>
      </c>
      <c r="C25" s="2" t="s">
        <v>302</v>
      </c>
      <c r="D25" s="2" t="s">
        <v>97</v>
      </c>
      <c r="E25" s="2" t="s">
        <v>30</v>
      </c>
      <c r="F25" s="2" t="s">
        <v>240</v>
      </c>
      <c r="G25" s="6" t="s">
        <v>303</v>
      </c>
      <c r="H25" s="4" t="str">
        <f>"https://" &amp; "picsum.photos/seed/cigar-24/800/600"</f>
        <v>https://picsum.photos/seed/cigar-24/800/600</v>
      </c>
      <c r="I25" s="4" t="str">
        <f>"https://" &amp; "picsum.photos/seed/cigar-24/200/200"</f>
        <v>https://picsum.photos/seed/cigar-24/200/200</v>
      </c>
      <c r="J25" s="2" t="s">
        <v>59</v>
      </c>
      <c r="K25" s="2" t="s">
        <v>304</v>
      </c>
      <c r="L25" s="2" t="s">
        <v>305</v>
      </c>
      <c r="M25" s="2" t="s">
        <v>306</v>
      </c>
      <c r="N25" s="2" t="s">
        <v>229</v>
      </c>
      <c r="O25" s="2" t="s">
        <v>230</v>
      </c>
      <c r="P25" s="2">
        <v>7.0</v>
      </c>
      <c r="Q25" s="2">
        <v>48.0</v>
      </c>
      <c r="R25" s="2">
        <v>85.0</v>
      </c>
      <c r="S25" s="2" t="s">
        <v>307</v>
      </c>
      <c r="T25" s="2" t="s">
        <v>308</v>
      </c>
      <c r="U25" s="2" t="s">
        <v>309</v>
      </c>
      <c r="V25" s="2" t="s">
        <v>310</v>
      </c>
      <c r="W25" s="2" t="s">
        <v>311</v>
      </c>
      <c r="X25" s="5">
        <v>25.0</v>
      </c>
      <c r="Y25" s="5">
        <v>500.0</v>
      </c>
      <c r="Z25" s="2" t="s">
        <v>42</v>
      </c>
    </row>
    <row r="26" ht="15.75" customHeight="1">
      <c r="A26" s="2" t="s">
        <v>312</v>
      </c>
      <c r="B26" s="2" t="s">
        <v>131</v>
      </c>
      <c r="C26" s="2" t="s">
        <v>313</v>
      </c>
      <c r="D26" s="2" t="s">
        <v>131</v>
      </c>
      <c r="E26" s="2" t="s">
        <v>84</v>
      </c>
      <c r="F26" s="2" t="s">
        <v>168</v>
      </c>
      <c r="G26" s="6" t="s">
        <v>314</v>
      </c>
      <c r="H26" s="4" t="str">
        <f>"https://" &amp; "picsum.photos/seed/cigar-25/800/600"</f>
        <v>https://picsum.photos/seed/cigar-25/800/600</v>
      </c>
      <c r="I26" s="4" t="str">
        <f>"https://" &amp; "picsum.photos/seed/cigar-25/200/200"</f>
        <v>https://picsum.photos/seed/cigar-25/200/200</v>
      </c>
      <c r="J26" s="2" t="s">
        <v>86</v>
      </c>
      <c r="K26" s="2" t="s">
        <v>315</v>
      </c>
      <c r="L26" s="2" t="s">
        <v>316</v>
      </c>
      <c r="M26" s="2" t="s">
        <v>136</v>
      </c>
      <c r="N26" s="2" t="s">
        <v>89</v>
      </c>
      <c r="O26" s="2" t="s">
        <v>90</v>
      </c>
      <c r="P26" s="2">
        <v>6.0</v>
      </c>
      <c r="Q26" s="2">
        <v>52.0</v>
      </c>
      <c r="R26" s="2">
        <v>70.0</v>
      </c>
      <c r="S26" s="2" t="s">
        <v>317</v>
      </c>
      <c r="T26" s="2" t="s">
        <v>318</v>
      </c>
      <c r="U26" s="2" t="s">
        <v>319</v>
      </c>
      <c r="V26" s="2" t="s">
        <v>320</v>
      </c>
      <c r="W26" s="2" t="s">
        <v>321</v>
      </c>
      <c r="X26" s="5">
        <v>17.5</v>
      </c>
      <c r="Y26" s="5">
        <v>420.0</v>
      </c>
      <c r="Z26" s="2" t="s">
        <v>42</v>
      </c>
    </row>
    <row r="27" ht="15.75" customHeight="1">
      <c r="A27" s="2" t="s">
        <v>322</v>
      </c>
      <c r="B27" s="2" t="s">
        <v>81</v>
      </c>
      <c r="C27" s="2" t="s">
        <v>323</v>
      </c>
      <c r="D27" s="2" t="s">
        <v>83</v>
      </c>
      <c r="E27" s="2" t="s">
        <v>84</v>
      </c>
      <c r="F27" s="2" t="s">
        <v>168</v>
      </c>
      <c r="G27" s="6" t="s">
        <v>324</v>
      </c>
      <c r="H27" s="4" t="str">
        <f>"https://" &amp; "picsum.photos/seed/cigar-26/800/600"</f>
        <v>https://picsum.photos/seed/cigar-26/800/600</v>
      </c>
      <c r="I27" s="4" t="str">
        <f>"https://" &amp; "picsum.photos/seed/cigar-26/200/200"</f>
        <v>https://picsum.photos/seed/cigar-26/200/200</v>
      </c>
      <c r="J27" s="2" t="s">
        <v>86</v>
      </c>
      <c r="K27" s="2" t="s">
        <v>115</v>
      </c>
      <c r="L27" s="2" t="s">
        <v>325</v>
      </c>
      <c r="M27" s="2" t="s">
        <v>88</v>
      </c>
      <c r="N27" s="2" t="s">
        <v>326</v>
      </c>
      <c r="O27" s="2" t="s">
        <v>327</v>
      </c>
      <c r="P27" s="2">
        <v>5.0</v>
      </c>
      <c r="Q27" s="2">
        <v>60.0</v>
      </c>
      <c r="R27" s="2">
        <v>65.0</v>
      </c>
      <c r="S27" s="2" t="s">
        <v>328</v>
      </c>
      <c r="T27" s="2" t="s">
        <v>329</v>
      </c>
      <c r="U27" s="2" t="s">
        <v>330</v>
      </c>
      <c r="V27" s="2" t="s">
        <v>331</v>
      </c>
      <c r="W27" s="2" t="s">
        <v>332</v>
      </c>
      <c r="X27" s="5">
        <v>13.0</v>
      </c>
      <c r="Y27" s="5">
        <v>299.0</v>
      </c>
      <c r="Z27" s="2" t="s">
        <v>42</v>
      </c>
    </row>
    <row r="28" ht="15.75" customHeight="1">
      <c r="A28" s="2" t="s">
        <v>333</v>
      </c>
      <c r="B28" s="2" t="s">
        <v>178</v>
      </c>
      <c r="C28" s="2" t="s">
        <v>334</v>
      </c>
      <c r="D28" s="2" t="s">
        <v>180</v>
      </c>
      <c r="E28" s="2" t="s">
        <v>84</v>
      </c>
      <c r="F28" s="2" t="s">
        <v>181</v>
      </c>
      <c r="G28" s="6" t="s">
        <v>335</v>
      </c>
      <c r="H28" s="4" t="str">
        <f>"https://" &amp; "picsum.photos/seed/cigar-27/800/600"</f>
        <v>https://picsum.photos/seed/cigar-27/800/600</v>
      </c>
      <c r="I28" s="4" t="str">
        <f>"https://" &amp; "picsum.photos/seed/cigar-27/200/200"</f>
        <v>https://picsum.photos/seed/cigar-27/200/200</v>
      </c>
      <c r="J28" s="2" t="s">
        <v>86</v>
      </c>
      <c r="K28" s="2" t="s">
        <v>305</v>
      </c>
      <c r="L28" s="2" t="s">
        <v>88</v>
      </c>
      <c r="M28" s="2" t="s">
        <v>183</v>
      </c>
      <c r="N28" s="2" t="s">
        <v>47</v>
      </c>
      <c r="O28" s="2" t="s">
        <v>336</v>
      </c>
      <c r="P28" s="2">
        <v>5.0</v>
      </c>
      <c r="Q28" s="2">
        <v>52.0</v>
      </c>
      <c r="R28" s="2">
        <v>50.0</v>
      </c>
      <c r="S28" s="2" t="s">
        <v>337</v>
      </c>
      <c r="T28" s="2" t="s">
        <v>338</v>
      </c>
      <c r="U28" s="2" t="s">
        <v>339</v>
      </c>
      <c r="V28" s="2" t="s">
        <v>340</v>
      </c>
      <c r="W28" s="2" t="s">
        <v>341</v>
      </c>
      <c r="X28" s="5">
        <v>13.5</v>
      </c>
      <c r="Y28" s="5">
        <v>135.0</v>
      </c>
      <c r="Z28" s="2" t="s">
        <v>42</v>
      </c>
    </row>
    <row r="29" ht="15.75" customHeight="1">
      <c r="A29" s="2" t="s">
        <v>342</v>
      </c>
      <c r="B29" s="2" t="s">
        <v>143</v>
      </c>
      <c r="C29" s="2" t="s">
        <v>343</v>
      </c>
      <c r="D29" s="2" t="s">
        <v>143</v>
      </c>
      <c r="E29" s="2" t="s">
        <v>84</v>
      </c>
      <c r="F29" s="2" t="s">
        <v>168</v>
      </c>
      <c r="G29" s="6" t="s">
        <v>344</v>
      </c>
      <c r="H29" s="4" t="str">
        <f>"https://" &amp; "picsum.photos/seed/cigar-28/800/600"</f>
        <v>https://picsum.photos/seed/cigar-28/800/600</v>
      </c>
      <c r="I29" s="4" t="str">
        <f>"https://" &amp; "picsum.photos/seed/cigar-28/200/200"</f>
        <v>https://picsum.photos/seed/cigar-28/200/200</v>
      </c>
      <c r="J29" s="2" t="s">
        <v>59</v>
      </c>
      <c r="K29" s="2" t="s">
        <v>345</v>
      </c>
      <c r="L29" s="2" t="s">
        <v>88</v>
      </c>
      <c r="M29" s="2" t="s">
        <v>88</v>
      </c>
      <c r="N29" s="2" t="s">
        <v>89</v>
      </c>
      <c r="O29" s="2" t="s">
        <v>147</v>
      </c>
      <c r="P29" s="2">
        <v>6.0</v>
      </c>
      <c r="Q29" s="2">
        <v>54.0</v>
      </c>
      <c r="R29" s="2">
        <v>65.0</v>
      </c>
      <c r="S29" s="2" t="s">
        <v>346</v>
      </c>
      <c r="T29" s="2" t="s">
        <v>347</v>
      </c>
      <c r="U29" s="2" t="s">
        <v>348</v>
      </c>
      <c r="V29" s="2" t="s">
        <v>349</v>
      </c>
      <c r="W29" s="2" t="s">
        <v>350</v>
      </c>
      <c r="X29" s="5">
        <v>10.0</v>
      </c>
      <c r="Y29" s="5">
        <v>240.0</v>
      </c>
      <c r="Z29" s="2" t="s">
        <v>42</v>
      </c>
    </row>
    <row r="30" ht="15.75" customHeight="1">
      <c r="A30" s="2" t="s">
        <v>351</v>
      </c>
      <c r="B30" s="2" t="s">
        <v>352</v>
      </c>
      <c r="C30" s="2" t="s">
        <v>353</v>
      </c>
      <c r="D30" s="2" t="s">
        <v>354</v>
      </c>
      <c r="E30" s="2" t="s">
        <v>30</v>
      </c>
      <c r="F30" s="2" t="s">
        <v>240</v>
      </c>
      <c r="G30" s="6" t="s">
        <v>355</v>
      </c>
      <c r="H30" s="4" t="str">
        <f>"https://" &amp; "picsum.photos/seed/cigar-29/800/600"</f>
        <v>https://picsum.photos/seed/cigar-29/800/600</v>
      </c>
      <c r="I30" s="4" t="str">
        <f>"https://" &amp; "picsum.photos/seed/cigar-29/200/200"</f>
        <v>https://picsum.photos/seed/cigar-29/200/200</v>
      </c>
      <c r="J30" s="2" t="s">
        <v>86</v>
      </c>
      <c r="K30" s="2" t="s">
        <v>356</v>
      </c>
      <c r="L30" s="2" t="s">
        <v>34</v>
      </c>
      <c r="M30" s="2" t="s">
        <v>357</v>
      </c>
      <c r="N30" s="2" t="s">
        <v>184</v>
      </c>
      <c r="O30" s="2" t="s">
        <v>358</v>
      </c>
      <c r="P30" s="2">
        <v>6.5</v>
      </c>
      <c r="Q30" s="2">
        <v>64.0</v>
      </c>
      <c r="R30" s="2">
        <v>90.0</v>
      </c>
      <c r="S30" s="2" t="s">
        <v>359</v>
      </c>
      <c r="T30" s="2" t="s">
        <v>360</v>
      </c>
      <c r="U30" s="2" t="s">
        <v>162</v>
      </c>
      <c r="V30" s="2" t="s">
        <v>361</v>
      </c>
      <c r="W30" s="2" t="s">
        <v>362</v>
      </c>
      <c r="X30" s="5">
        <v>18.0</v>
      </c>
      <c r="Y30" s="5">
        <v>180.0</v>
      </c>
      <c r="Z30" s="2" t="s">
        <v>42</v>
      </c>
    </row>
    <row r="31" ht="15.75" customHeight="1">
      <c r="A31" s="2" t="s">
        <v>363</v>
      </c>
      <c r="B31" s="2" t="s">
        <v>123</v>
      </c>
      <c r="C31" s="2" t="s">
        <v>364</v>
      </c>
      <c r="D31" s="2" t="s">
        <v>123</v>
      </c>
      <c r="E31" s="2" t="s">
        <v>30</v>
      </c>
      <c r="F31" s="2" t="s">
        <v>155</v>
      </c>
      <c r="G31" s="6" t="s">
        <v>365</v>
      </c>
      <c r="H31" s="4" t="str">
        <f>"https://" &amp; "picsum.photos/seed/cigar-30/800/600"</f>
        <v>https://picsum.photos/seed/cigar-30/800/600</v>
      </c>
      <c r="I31" s="4" t="str">
        <f>"https://" &amp; "picsum.photos/seed/cigar-30/200/200"</f>
        <v>https://picsum.photos/seed/cigar-30/200/200</v>
      </c>
      <c r="J31" s="2" t="s">
        <v>32</v>
      </c>
      <c r="K31" s="2" t="s">
        <v>60</v>
      </c>
      <c r="L31" s="2" t="s">
        <v>34</v>
      </c>
      <c r="M31" s="2" t="s">
        <v>34</v>
      </c>
      <c r="N31" s="2" t="s">
        <v>366</v>
      </c>
      <c r="O31" s="2" t="s">
        <v>367</v>
      </c>
      <c r="P31" s="2">
        <v>5.375</v>
      </c>
      <c r="Q31" s="2">
        <v>52.0</v>
      </c>
      <c r="R31" s="2">
        <v>55.0</v>
      </c>
      <c r="S31" s="2" t="s">
        <v>368</v>
      </c>
      <c r="T31" s="2" t="s">
        <v>369</v>
      </c>
      <c r="U31" s="2" t="s">
        <v>370</v>
      </c>
      <c r="V31" s="2" t="s">
        <v>371</v>
      </c>
      <c r="W31" s="2" t="s">
        <v>372</v>
      </c>
      <c r="X31" s="5">
        <v>12.5</v>
      </c>
      <c r="Y31" s="5">
        <v>312.5</v>
      </c>
      <c r="Z31" s="2" t="s">
        <v>42</v>
      </c>
    </row>
    <row r="32" ht="15.75" customHeight="1">
      <c r="A32" s="2" t="s">
        <v>373</v>
      </c>
      <c r="B32" s="2" t="s">
        <v>166</v>
      </c>
      <c r="C32" s="2" t="s">
        <v>374</v>
      </c>
      <c r="D32" s="2" t="s">
        <v>166</v>
      </c>
      <c r="E32" s="2" t="s">
        <v>84</v>
      </c>
      <c r="F32" s="2" t="s">
        <v>375</v>
      </c>
      <c r="G32" s="6" t="s">
        <v>376</v>
      </c>
      <c r="H32" s="4" t="str">
        <f>"https://" &amp; "picsum.photos/seed/cigar-31/800/600"</f>
        <v>https://picsum.photos/seed/cigar-31/800/600</v>
      </c>
      <c r="I32" s="4" t="str">
        <f>"https://" &amp; "picsum.photos/seed/cigar-31/200/200"</f>
        <v>https://picsum.photos/seed/cigar-31/200/200</v>
      </c>
      <c r="J32" s="2" t="s">
        <v>100</v>
      </c>
      <c r="K32" s="2" t="s">
        <v>101</v>
      </c>
      <c r="L32" s="2" t="s">
        <v>88</v>
      </c>
      <c r="M32" s="2" t="s">
        <v>88</v>
      </c>
      <c r="N32" s="2" t="s">
        <v>47</v>
      </c>
      <c r="O32" s="2" t="s">
        <v>48</v>
      </c>
      <c r="P32" s="2">
        <v>5.0</v>
      </c>
      <c r="Q32" s="2">
        <v>50.0</v>
      </c>
      <c r="R32" s="2">
        <v>45.0</v>
      </c>
      <c r="S32" s="2" t="s">
        <v>377</v>
      </c>
      <c r="T32" s="2" t="s">
        <v>378</v>
      </c>
      <c r="U32" s="2" t="s">
        <v>379</v>
      </c>
      <c r="V32" s="2" t="s">
        <v>380</v>
      </c>
      <c r="W32" s="2" t="s">
        <v>381</v>
      </c>
      <c r="X32" s="5">
        <v>14.0</v>
      </c>
      <c r="Y32" s="5">
        <v>280.0</v>
      </c>
      <c r="Z32" s="2" t="s">
        <v>42</v>
      </c>
    </row>
    <row r="33" ht="15.75" customHeight="1">
      <c r="A33" s="2" t="s">
        <v>382</v>
      </c>
      <c r="B33" s="2" t="s">
        <v>383</v>
      </c>
      <c r="C33" s="2" t="s">
        <v>384</v>
      </c>
      <c r="D33" s="2" t="s">
        <v>385</v>
      </c>
      <c r="E33" s="2" t="s">
        <v>84</v>
      </c>
      <c r="F33" s="2" t="s">
        <v>168</v>
      </c>
      <c r="G33" s="6" t="s">
        <v>386</v>
      </c>
      <c r="H33" s="4" t="str">
        <f>"https://" &amp; "picsum.photos/seed/cigar-32/800/600"</f>
        <v>https://picsum.photos/seed/cigar-32/800/600</v>
      </c>
      <c r="I33" s="4" t="str">
        <f>"https://" &amp; "picsum.photos/seed/cigar-32/200/200"</f>
        <v>https://picsum.photos/seed/cigar-32/200/200</v>
      </c>
      <c r="J33" s="2" t="s">
        <v>86</v>
      </c>
      <c r="K33" s="2" t="s">
        <v>134</v>
      </c>
      <c r="L33" s="2" t="s">
        <v>305</v>
      </c>
      <c r="M33" s="2" t="s">
        <v>136</v>
      </c>
      <c r="N33" s="2" t="s">
        <v>89</v>
      </c>
      <c r="O33" s="2" t="s">
        <v>90</v>
      </c>
      <c r="P33" s="2">
        <v>6.0</v>
      </c>
      <c r="Q33" s="2">
        <v>52.0</v>
      </c>
      <c r="R33" s="2">
        <v>70.0</v>
      </c>
      <c r="S33" s="2" t="s">
        <v>387</v>
      </c>
      <c r="T33" s="2" t="s">
        <v>388</v>
      </c>
      <c r="U33" s="2" t="s">
        <v>389</v>
      </c>
      <c r="V33" s="2" t="s">
        <v>390</v>
      </c>
      <c r="W33" s="2" t="s">
        <v>391</v>
      </c>
      <c r="X33" s="5">
        <v>13.5</v>
      </c>
      <c r="Y33" s="5">
        <v>324.0</v>
      </c>
      <c r="Z33" s="2" t="s">
        <v>42</v>
      </c>
    </row>
    <row r="34" ht="15.75" customHeight="1">
      <c r="A34" s="2" t="s">
        <v>392</v>
      </c>
      <c r="B34" s="2" t="s">
        <v>393</v>
      </c>
      <c r="C34" s="2" t="s">
        <v>394</v>
      </c>
      <c r="D34" s="2" t="s">
        <v>395</v>
      </c>
      <c r="E34" s="2" t="s">
        <v>84</v>
      </c>
      <c r="F34" s="2" t="s">
        <v>168</v>
      </c>
      <c r="G34" s="6" t="s">
        <v>396</v>
      </c>
      <c r="H34" s="4" t="str">
        <f>"https://" &amp; "picsum.photos/seed/cigar-33/800/600"</f>
        <v>https://picsum.photos/seed/cigar-33/800/600</v>
      </c>
      <c r="I34" s="4" t="str">
        <f>"https://" &amp; "picsum.photos/seed/cigar-33/200/200"</f>
        <v>https://picsum.photos/seed/cigar-33/200/200</v>
      </c>
      <c r="J34" s="2" t="s">
        <v>59</v>
      </c>
      <c r="K34" s="2" t="s">
        <v>397</v>
      </c>
      <c r="L34" s="2" t="s">
        <v>398</v>
      </c>
      <c r="M34" s="2" t="s">
        <v>399</v>
      </c>
      <c r="N34" s="2" t="s">
        <v>400</v>
      </c>
      <c r="O34" s="2" t="s">
        <v>401</v>
      </c>
      <c r="P34" s="2">
        <v>6.25</v>
      </c>
      <c r="Q34" s="2">
        <v>46.0</v>
      </c>
      <c r="R34" s="2">
        <v>60.0</v>
      </c>
      <c r="S34" s="2" t="s">
        <v>402</v>
      </c>
      <c r="T34" s="2" t="s">
        <v>403</v>
      </c>
      <c r="U34" s="2" t="s">
        <v>404</v>
      </c>
      <c r="V34" s="2" t="s">
        <v>405</v>
      </c>
      <c r="W34" s="2" t="s">
        <v>406</v>
      </c>
      <c r="X34" s="5">
        <v>11.5</v>
      </c>
      <c r="Y34" s="5">
        <v>287.5</v>
      </c>
      <c r="Z34" s="2" t="s">
        <v>42</v>
      </c>
    </row>
    <row r="35" ht="15.75" customHeight="1">
      <c r="A35" s="2" t="s">
        <v>407</v>
      </c>
      <c r="B35" s="2" t="s">
        <v>408</v>
      </c>
      <c r="C35" s="2" t="s">
        <v>409</v>
      </c>
      <c r="D35" s="2" t="s">
        <v>410</v>
      </c>
      <c r="E35" s="2" t="s">
        <v>84</v>
      </c>
      <c r="F35" s="2" t="s">
        <v>168</v>
      </c>
      <c r="G35" s="6" t="s">
        <v>411</v>
      </c>
      <c r="H35" s="4" t="str">
        <f>"https://" &amp; "picsum.photos/seed/cigar-34/800/600"</f>
        <v>https://picsum.photos/seed/cigar-34/800/600</v>
      </c>
      <c r="I35" s="4" t="str">
        <f>"https://" &amp; "picsum.photos/seed/cigar-34/200/200"</f>
        <v>https://picsum.photos/seed/cigar-34/200/200</v>
      </c>
      <c r="J35" s="2" t="s">
        <v>59</v>
      </c>
      <c r="K35" s="2" t="s">
        <v>412</v>
      </c>
      <c r="L35" s="2" t="s">
        <v>88</v>
      </c>
      <c r="M35" s="2" t="s">
        <v>413</v>
      </c>
      <c r="N35" s="2" t="s">
        <v>89</v>
      </c>
      <c r="O35" s="2" t="s">
        <v>147</v>
      </c>
      <c r="P35" s="2">
        <v>6.0</v>
      </c>
      <c r="Q35" s="2">
        <v>54.0</v>
      </c>
      <c r="R35" s="2">
        <v>65.0</v>
      </c>
      <c r="S35" s="2" t="s">
        <v>414</v>
      </c>
      <c r="T35" s="2" t="s">
        <v>415</v>
      </c>
      <c r="U35" s="2" t="s">
        <v>416</v>
      </c>
      <c r="V35" s="2" t="s">
        <v>417</v>
      </c>
      <c r="W35" s="2" t="s">
        <v>418</v>
      </c>
      <c r="X35" s="5">
        <v>11.5</v>
      </c>
      <c r="Y35" s="5">
        <v>230.0</v>
      </c>
      <c r="Z35" s="2" t="s">
        <v>42</v>
      </c>
    </row>
    <row r="36" ht="15.75" customHeight="1">
      <c r="A36" s="2" t="s">
        <v>419</v>
      </c>
      <c r="B36" s="2" t="s">
        <v>420</v>
      </c>
      <c r="C36" s="2" t="s">
        <v>421</v>
      </c>
      <c r="D36" s="2" t="s">
        <v>422</v>
      </c>
      <c r="E36" s="2" t="s">
        <v>84</v>
      </c>
      <c r="F36" s="2" t="s">
        <v>168</v>
      </c>
      <c r="G36" s="6" t="s">
        <v>423</v>
      </c>
      <c r="H36" s="4" t="str">
        <f>"https://" &amp; "picsum.photos/seed/cigar-35/800/600"</f>
        <v>https://picsum.photos/seed/cigar-35/800/600</v>
      </c>
      <c r="I36" s="4" t="str">
        <f>"https://" &amp; "picsum.photos/seed/cigar-35/200/200"</f>
        <v>https://picsum.photos/seed/cigar-35/200/200</v>
      </c>
      <c r="J36" s="2" t="s">
        <v>86</v>
      </c>
      <c r="K36" s="2" t="s">
        <v>134</v>
      </c>
      <c r="L36" s="2" t="s">
        <v>60</v>
      </c>
      <c r="M36" s="2" t="s">
        <v>88</v>
      </c>
      <c r="N36" s="2" t="s">
        <v>424</v>
      </c>
      <c r="O36" s="2" t="s">
        <v>425</v>
      </c>
      <c r="P36" s="2">
        <v>5.5</v>
      </c>
      <c r="Q36" s="2">
        <v>54.0</v>
      </c>
      <c r="R36" s="2">
        <v>60.0</v>
      </c>
      <c r="S36" s="2" t="s">
        <v>426</v>
      </c>
      <c r="T36" s="2" t="s">
        <v>427</v>
      </c>
      <c r="U36" s="2" t="s">
        <v>428</v>
      </c>
      <c r="V36" s="2" t="s">
        <v>429</v>
      </c>
      <c r="W36" s="2" t="s">
        <v>430</v>
      </c>
      <c r="X36" s="5">
        <v>10.5</v>
      </c>
      <c r="Y36" s="5">
        <v>252.0</v>
      </c>
      <c r="Z36" s="2" t="s">
        <v>42</v>
      </c>
    </row>
    <row r="37" ht="15.75" customHeight="1">
      <c r="A37" s="2" t="s">
        <v>431</v>
      </c>
      <c r="B37" s="2" t="s">
        <v>432</v>
      </c>
      <c r="C37" s="2" t="s">
        <v>433</v>
      </c>
      <c r="D37" s="2" t="s">
        <v>434</v>
      </c>
      <c r="E37" s="2" t="s">
        <v>84</v>
      </c>
      <c r="F37" s="2" t="s">
        <v>168</v>
      </c>
      <c r="G37" s="6" t="s">
        <v>435</v>
      </c>
      <c r="H37" s="4" t="str">
        <f>"https://" &amp; "picsum.photos/seed/cigar-36/800/600"</f>
        <v>https://picsum.photos/seed/cigar-36/800/600</v>
      </c>
      <c r="I37" s="4" t="str">
        <f>"https://" &amp; "picsum.photos/seed/cigar-36/200/200"</f>
        <v>https://picsum.photos/seed/cigar-36/200/200</v>
      </c>
      <c r="J37" s="2" t="s">
        <v>32</v>
      </c>
      <c r="K37" s="2" t="s">
        <v>436</v>
      </c>
      <c r="L37" s="2" t="s">
        <v>88</v>
      </c>
      <c r="M37" s="2" t="s">
        <v>437</v>
      </c>
      <c r="N37" s="2" t="s">
        <v>438</v>
      </c>
      <c r="O37" s="2" t="s">
        <v>439</v>
      </c>
      <c r="P37" s="2">
        <v>6.0</v>
      </c>
      <c r="Q37" s="2">
        <v>42.0</v>
      </c>
      <c r="R37" s="2">
        <v>50.0</v>
      </c>
      <c r="S37" s="2" t="s">
        <v>440</v>
      </c>
      <c r="T37" s="2" t="s">
        <v>441</v>
      </c>
      <c r="U37" s="2" t="s">
        <v>442</v>
      </c>
      <c r="V37" s="2" t="s">
        <v>443</v>
      </c>
      <c r="W37" s="2" t="s">
        <v>444</v>
      </c>
      <c r="X37" s="5">
        <v>9.0</v>
      </c>
      <c r="Y37" s="5">
        <v>225.0</v>
      </c>
      <c r="Z37" s="2" t="s">
        <v>42</v>
      </c>
    </row>
    <row r="38" ht="15.75" customHeight="1">
      <c r="A38" s="2" t="s">
        <v>445</v>
      </c>
      <c r="B38" s="2" t="s">
        <v>446</v>
      </c>
      <c r="C38" s="2" t="s">
        <v>447</v>
      </c>
      <c r="D38" s="2" t="s">
        <v>83</v>
      </c>
      <c r="E38" s="2" t="s">
        <v>84</v>
      </c>
      <c r="F38" s="2" t="s">
        <v>168</v>
      </c>
      <c r="G38" s="6" t="s">
        <v>448</v>
      </c>
      <c r="H38" s="4" t="str">
        <f>"https://" &amp; "picsum.photos/seed/cigar-37/800/600"</f>
        <v>https://picsum.photos/seed/cigar-37/800/600</v>
      </c>
      <c r="I38" s="4" t="str">
        <f>"https://" &amp; "picsum.photos/seed/cigar-37/200/200"</f>
        <v>https://picsum.photos/seed/cigar-37/200/200</v>
      </c>
      <c r="J38" s="2" t="s">
        <v>86</v>
      </c>
      <c r="K38" s="2" t="s">
        <v>412</v>
      </c>
      <c r="L38" s="2" t="s">
        <v>88</v>
      </c>
      <c r="M38" s="2" t="s">
        <v>88</v>
      </c>
      <c r="N38" s="2" t="s">
        <v>47</v>
      </c>
      <c r="O38" s="2" t="s">
        <v>171</v>
      </c>
      <c r="P38" s="2">
        <v>5.5</v>
      </c>
      <c r="Q38" s="2">
        <v>50.0</v>
      </c>
      <c r="R38" s="2">
        <v>50.0</v>
      </c>
      <c r="S38" s="2" t="s">
        <v>449</v>
      </c>
      <c r="T38" s="2" t="s">
        <v>450</v>
      </c>
      <c r="U38" s="2" t="s">
        <v>451</v>
      </c>
      <c r="V38" s="2" t="s">
        <v>452</v>
      </c>
      <c r="W38" s="2" t="s">
        <v>453</v>
      </c>
      <c r="X38" s="5">
        <v>11.0</v>
      </c>
      <c r="Y38" s="5">
        <v>275.0</v>
      </c>
      <c r="Z38" s="2" t="s">
        <v>42</v>
      </c>
    </row>
    <row r="39" ht="15.75" customHeight="1">
      <c r="A39" s="2" t="s">
        <v>454</v>
      </c>
      <c r="B39" s="2" t="s">
        <v>395</v>
      </c>
      <c r="C39" s="2" t="s">
        <v>455</v>
      </c>
      <c r="D39" s="2" t="s">
        <v>395</v>
      </c>
      <c r="E39" s="2" t="s">
        <v>84</v>
      </c>
      <c r="F39" s="2" t="s">
        <v>168</v>
      </c>
      <c r="G39" s="6" t="s">
        <v>456</v>
      </c>
      <c r="H39" s="4" t="str">
        <f>"https://" &amp; "picsum.photos/seed/cigar-38/800/600"</f>
        <v>https://picsum.photos/seed/cigar-38/800/600</v>
      </c>
      <c r="I39" s="4" t="str">
        <f>"https://" &amp; "picsum.photos/seed/cigar-38/200/200"</f>
        <v>https://picsum.photos/seed/cigar-38/200/200</v>
      </c>
      <c r="J39" s="2" t="s">
        <v>86</v>
      </c>
      <c r="K39" s="2" t="s">
        <v>457</v>
      </c>
      <c r="L39" s="2" t="s">
        <v>88</v>
      </c>
      <c r="M39" s="2" t="s">
        <v>88</v>
      </c>
      <c r="N39" s="2" t="s">
        <v>458</v>
      </c>
      <c r="O39" s="2" t="s">
        <v>459</v>
      </c>
      <c r="P39" s="2">
        <v>4.75</v>
      </c>
      <c r="Q39" s="2">
        <v>60.0</v>
      </c>
      <c r="R39" s="2">
        <v>55.0</v>
      </c>
      <c r="S39" s="2" t="s">
        <v>460</v>
      </c>
      <c r="T39" s="2" t="s">
        <v>461</v>
      </c>
      <c r="U39" s="2" t="s">
        <v>462</v>
      </c>
      <c r="V39" s="2" t="s">
        <v>463</v>
      </c>
      <c r="W39" s="2" t="s">
        <v>464</v>
      </c>
      <c r="X39" s="5">
        <v>9.5</v>
      </c>
      <c r="Y39" s="5">
        <v>190.0</v>
      </c>
      <c r="Z39" s="2" t="s">
        <v>42</v>
      </c>
    </row>
    <row r="40" ht="15.75" customHeight="1">
      <c r="A40" s="2" t="s">
        <v>465</v>
      </c>
      <c r="B40" s="2" t="s">
        <v>466</v>
      </c>
      <c r="C40" s="2" t="s">
        <v>467</v>
      </c>
      <c r="D40" s="2" t="s">
        <v>83</v>
      </c>
      <c r="E40" s="2" t="s">
        <v>84</v>
      </c>
      <c r="F40" s="2" t="s">
        <v>168</v>
      </c>
      <c r="G40" s="6" t="s">
        <v>468</v>
      </c>
      <c r="H40" s="4" t="str">
        <f>"https://" &amp; "picsum.photos/seed/cigar-39/800/600"</f>
        <v>https://picsum.photos/seed/cigar-39/800/600</v>
      </c>
      <c r="I40" s="4" t="str">
        <f>"https://" &amp; "picsum.photos/seed/cigar-39/200/200"</f>
        <v>https://picsum.photos/seed/cigar-39/200/200</v>
      </c>
      <c r="J40" s="2" t="s">
        <v>59</v>
      </c>
      <c r="K40" s="2" t="s">
        <v>305</v>
      </c>
      <c r="L40" s="2" t="s">
        <v>88</v>
      </c>
      <c r="M40" s="2" t="s">
        <v>88</v>
      </c>
      <c r="N40" s="2" t="s">
        <v>366</v>
      </c>
      <c r="O40" s="2" t="s">
        <v>425</v>
      </c>
      <c r="P40" s="2">
        <v>5.5</v>
      </c>
      <c r="Q40" s="2">
        <v>54.0</v>
      </c>
      <c r="R40" s="2">
        <v>60.0</v>
      </c>
      <c r="S40" s="2" t="s">
        <v>469</v>
      </c>
      <c r="T40" s="2" t="s">
        <v>470</v>
      </c>
      <c r="U40" s="2" t="s">
        <v>471</v>
      </c>
      <c r="V40" s="2" t="s">
        <v>472</v>
      </c>
      <c r="W40" s="2" t="s">
        <v>473</v>
      </c>
      <c r="X40" s="5">
        <v>10.5</v>
      </c>
      <c r="Y40" s="5">
        <v>262.5</v>
      </c>
      <c r="Z40" s="2" t="s">
        <v>42</v>
      </c>
    </row>
    <row r="41" ht="15.75" customHeight="1">
      <c r="A41" s="2" t="s">
        <v>474</v>
      </c>
      <c r="B41" s="2" t="s">
        <v>475</v>
      </c>
      <c r="C41" s="2" t="s">
        <v>476</v>
      </c>
      <c r="D41" s="2" t="s">
        <v>83</v>
      </c>
      <c r="E41" s="2" t="s">
        <v>84</v>
      </c>
      <c r="F41" s="2" t="s">
        <v>168</v>
      </c>
      <c r="G41" s="6" t="s">
        <v>477</v>
      </c>
      <c r="H41" s="4" t="str">
        <f>"https://" &amp; "picsum.photos/seed/cigar-40/800/600"</f>
        <v>https://picsum.photos/seed/cigar-40/800/600</v>
      </c>
      <c r="I41" s="4" t="str">
        <f>"https://" &amp; "picsum.photos/seed/cigar-40/200/200"</f>
        <v>https://picsum.photos/seed/cigar-40/200/200</v>
      </c>
      <c r="J41" s="2" t="s">
        <v>59</v>
      </c>
      <c r="K41" s="2" t="s">
        <v>412</v>
      </c>
      <c r="L41" s="2" t="s">
        <v>88</v>
      </c>
      <c r="M41" s="2" t="s">
        <v>88</v>
      </c>
      <c r="N41" s="2" t="s">
        <v>229</v>
      </c>
      <c r="O41" s="2" t="s">
        <v>478</v>
      </c>
      <c r="P41" s="2">
        <v>7.0</v>
      </c>
      <c r="Q41" s="2">
        <v>49.0</v>
      </c>
      <c r="R41" s="2">
        <v>80.0</v>
      </c>
      <c r="S41" s="2" t="s">
        <v>479</v>
      </c>
      <c r="T41" s="2" t="s">
        <v>480</v>
      </c>
      <c r="U41" s="2" t="s">
        <v>330</v>
      </c>
      <c r="V41" s="2" t="s">
        <v>481</v>
      </c>
      <c r="W41" s="2" t="s">
        <v>482</v>
      </c>
      <c r="X41" s="5">
        <v>11.5</v>
      </c>
      <c r="Y41" s="5">
        <v>276.0</v>
      </c>
      <c r="Z41" s="2" t="s">
        <v>42</v>
      </c>
    </row>
    <row r="42" ht="15.75" customHeight="1">
      <c r="A42" s="2" t="s">
        <v>483</v>
      </c>
      <c r="B42" s="2" t="s">
        <v>131</v>
      </c>
      <c r="C42" s="2" t="s">
        <v>484</v>
      </c>
      <c r="D42" s="2" t="s">
        <v>131</v>
      </c>
      <c r="E42" s="2" t="s">
        <v>84</v>
      </c>
      <c r="F42" s="2" t="s">
        <v>168</v>
      </c>
      <c r="G42" s="6" t="s">
        <v>485</v>
      </c>
      <c r="H42" s="4" t="str">
        <f>"https://" &amp; "picsum.photos/seed/cigar-41/800/600"</f>
        <v>https://picsum.photos/seed/cigar-41/800/600</v>
      </c>
      <c r="I42" s="4" t="str">
        <f>"https://" &amp; "picsum.photos/seed/cigar-41/200/200"</f>
        <v>https://picsum.photos/seed/cigar-41/200/200</v>
      </c>
      <c r="J42" s="2" t="s">
        <v>59</v>
      </c>
      <c r="K42" s="2" t="s">
        <v>305</v>
      </c>
      <c r="L42" s="2" t="s">
        <v>486</v>
      </c>
      <c r="M42" s="2" t="s">
        <v>487</v>
      </c>
      <c r="N42" s="2" t="s">
        <v>438</v>
      </c>
      <c r="O42" s="2" t="s">
        <v>159</v>
      </c>
      <c r="P42" s="2">
        <v>5.625</v>
      </c>
      <c r="Q42" s="2">
        <v>46.0</v>
      </c>
      <c r="R42" s="2">
        <v>50.0</v>
      </c>
      <c r="S42" s="2" t="s">
        <v>488</v>
      </c>
      <c r="T42" s="2" t="s">
        <v>489</v>
      </c>
      <c r="U42" s="2" t="s">
        <v>490</v>
      </c>
      <c r="V42" s="2" t="s">
        <v>491</v>
      </c>
      <c r="W42" s="2" t="s">
        <v>492</v>
      </c>
      <c r="X42" s="5">
        <v>8.5</v>
      </c>
      <c r="Y42" s="5">
        <v>212.5</v>
      </c>
      <c r="Z42" s="2" t="s">
        <v>42</v>
      </c>
    </row>
    <row r="43" ht="15.75" customHeight="1">
      <c r="A43" s="2" t="s">
        <v>493</v>
      </c>
      <c r="B43" s="2" t="s">
        <v>44</v>
      </c>
      <c r="C43" s="2" t="s">
        <v>494</v>
      </c>
      <c r="D43" s="2" t="s">
        <v>29</v>
      </c>
      <c r="E43" s="2" t="s">
        <v>30</v>
      </c>
      <c r="F43" s="2" t="s">
        <v>495</v>
      </c>
      <c r="G43" s="6" t="s">
        <v>496</v>
      </c>
      <c r="H43" s="4" t="str">
        <f>"https://" &amp; "picsum.photos/seed/cigar-42/800/600"</f>
        <v>https://picsum.photos/seed/cigar-42/800/600</v>
      </c>
      <c r="I43" s="4" t="str">
        <f>"https://" &amp; "picsum.photos/seed/cigar-42/200/200"</f>
        <v>https://picsum.photos/seed/cigar-42/200/200</v>
      </c>
      <c r="J43" s="2" t="s">
        <v>100</v>
      </c>
      <c r="K43" s="2" t="s">
        <v>101</v>
      </c>
      <c r="L43" s="2" t="s">
        <v>88</v>
      </c>
      <c r="M43" s="2" t="s">
        <v>306</v>
      </c>
      <c r="N43" s="2" t="s">
        <v>47</v>
      </c>
      <c r="O43" s="2" t="s">
        <v>336</v>
      </c>
      <c r="P43" s="2">
        <v>5.0</v>
      </c>
      <c r="Q43" s="2">
        <v>52.0</v>
      </c>
      <c r="R43" s="2">
        <v>45.0</v>
      </c>
      <c r="S43" s="2" t="s">
        <v>497</v>
      </c>
      <c r="T43" s="2" t="s">
        <v>498</v>
      </c>
      <c r="U43" s="2" t="s">
        <v>499</v>
      </c>
      <c r="V43" s="2" t="s">
        <v>500</v>
      </c>
      <c r="W43" s="2" t="s">
        <v>501</v>
      </c>
      <c r="X43" s="5">
        <v>9.0</v>
      </c>
      <c r="Y43" s="5">
        <v>225.0</v>
      </c>
      <c r="Z43" s="2" t="s">
        <v>42</v>
      </c>
    </row>
    <row r="44" ht="15.75" customHeight="1">
      <c r="A44" s="2" t="s">
        <v>502</v>
      </c>
      <c r="B44" s="2" t="s">
        <v>27</v>
      </c>
      <c r="C44" s="2" t="s">
        <v>503</v>
      </c>
      <c r="D44" s="2" t="s">
        <v>29</v>
      </c>
      <c r="E44" s="2" t="s">
        <v>30</v>
      </c>
      <c r="F44" s="2" t="s">
        <v>495</v>
      </c>
      <c r="G44" s="6" t="s">
        <v>504</v>
      </c>
      <c r="H44" s="4" t="str">
        <f>"https://" &amp; "picsum.photos/seed/cigar-43/800/600"</f>
        <v>https://picsum.photos/seed/cigar-43/800/600</v>
      </c>
      <c r="I44" s="4" t="str">
        <f>"https://" &amp; "picsum.photos/seed/cigar-43/200/200"</f>
        <v>https://picsum.photos/seed/cigar-43/200/200</v>
      </c>
      <c r="J44" s="2" t="s">
        <v>100</v>
      </c>
      <c r="K44" s="2" t="s">
        <v>101</v>
      </c>
      <c r="L44" s="2" t="s">
        <v>88</v>
      </c>
      <c r="M44" s="2" t="s">
        <v>306</v>
      </c>
      <c r="N44" s="2" t="s">
        <v>366</v>
      </c>
      <c r="O44" s="2" t="s">
        <v>505</v>
      </c>
      <c r="P44" s="2">
        <v>6.0</v>
      </c>
      <c r="Q44" s="2">
        <v>50.0</v>
      </c>
      <c r="R44" s="2">
        <v>55.0</v>
      </c>
      <c r="S44" s="2" t="s">
        <v>506</v>
      </c>
      <c r="T44" s="2" t="s">
        <v>507</v>
      </c>
      <c r="U44" s="2" t="s">
        <v>201</v>
      </c>
      <c r="V44" s="2" t="s">
        <v>508</v>
      </c>
      <c r="W44" s="2" t="s">
        <v>509</v>
      </c>
      <c r="X44" s="5">
        <v>14.5</v>
      </c>
      <c r="Y44" s="5">
        <v>290.0</v>
      </c>
      <c r="Z44" s="2" t="s">
        <v>42</v>
      </c>
    </row>
    <row r="45" ht="15.75" customHeight="1">
      <c r="A45" s="2" t="s">
        <v>510</v>
      </c>
      <c r="B45" s="2" t="s">
        <v>511</v>
      </c>
      <c r="C45" s="2" t="s">
        <v>512</v>
      </c>
      <c r="D45" s="2" t="s">
        <v>513</v>
      </c>
      <c r="E45" s="2" t="s">
        <v>113</v>
      </c>
      <c r="F45" s="2" t="s">
        <v>226</v>
      </c>
      <c r="G45" s="6" t="s">
        <v>514</v>
      </c>
      <c r="H45" s="4" t="str">
        <f>"https://" &amp; "picsum.photos/seed/cigar-44/800/600"</f>
        <v>https://picsum.photos/seed/cigar-44/800/600</v>
      </c>
      <c r="I45" s="4" t="str">
        <f>"https://" &amp; "picsum.photos/seed/cigar-44/200/200"</f>
        <v>https://picsum.photos/seed/cigar-44/200/200</v>
      </c>
      <c r="J45" s="2" t="s">
        <v>86</v>
      </c>
      <c r="K45" s="2" t="s">
        <v>515</v>
      </c>
      <c r="L45" s="2" t="s">
        <v>515</v>
      </c>
      <c r="M45" s="2" t="s">
        <v>515</v>
      </c>
      <c r="N45" s="2" t="s">
        <v>47</v>
      </c>
      <c r="O45" s="2" t="s">
        <v>48</v>
      </c>
      <c r="P45" s="2">
        <v>5.0</v>
      </c>
      <c r="Q45" s="2">
        <v>50.0</v>
      </c>
      <c r="R45" s="2">
        <v>50.0</v>
      </c>
      <c r="S45" s="2" t="s">
        <v>516</v>
      </c>
      <c r="T45" s="2" t="s">
        <v>517</v>
      </c>
      <c r="U45" s="2" t="s">
        <v>518</v>
      </c>
      <c r="V45" s="2" t="s">
        <v>519</v>
      </c>
      <c r="W45" s="2" t="s">
        <v>520</v>
      </c>
      <c r="X45" s="5">
        <v>9.5</v>
      </c>
      <c r="Y45" s="5">
        <v>190.0</v>
      </c>
      <c r="Z45" s="2" t="s">
        <v>42</v>
      </c>
    </row>
    <row r="46" ht="15.75" customHeight="1">
      <c r="A46" s="2" t="s">
        <v>521</v>
      </c>
      <c r="B46" s="2" t="s">
        <v>522</v>
      </c>
      <c r="C46" s="2" t="s">
        <v>28</v>
      </c>
      <c r="D46" s="2" t="s">
        <v>97</v>
      </c>
      <c r="E46" s="2" t="s">
        <v>30</v>
      </c>
      <c r="F46" s="2" t="s">
        <v>240</v>
      </c>
      <c r="G46" s="6" t="s">
        <v>523</v>
      </c>
      <c r="H46" s="4" t="str">
        <f>"https://" &amp; "picsum.photos/seed/cigar-45/800/600"</f>
        <v>https://picsum.photos/seed/cigar-45/800/600</v>
      </c>
      <c r="I46" s="4" t="str">
        <f>"https://" &amp; "picsum.photos/seed/cigar-45/200/200"</f>
        <v>https://picsum.photos/seed/cigar-45/200/200</v>
      </c>
      <c r="J46" s="2" t="s">
        <v>100</v>
      </c>
      <c r="K46" s="2" t="s">
        <v>101</v>
      </c>
      <c r="L46" s="2" t="s">
        <v>34</v>
      </c>
      <c r="M46" s="2" t="s">
        <v>34</v>
      </c>
      <c r="N46" s="2" t="s">
        <v>89</v>
      </c>
      <c r="O46" s="2" t="s">
        <v>505</v>
      </c>
      <c r="P46" s="2">
        <v>6.0</v>
      </c>
      <c r="Q46" s="2">
        <v>50.0</v>
      </c>
      <c r="R46" s="2">
        <v>60.0</v>
      </c>
      <c r="S46" s="2" t="s">
        <v>524</v>
      </c>
      <c r="T46" s="2" t="s">
        <v>525</v>
      </c>
      <c r="U46" s="2" t="s">
        <v>526</v>
      </c>
      <c r="V46" s="2" t="s">
        <v>527</v>
      </c>
      <c r="W46" s="2" t="s">
        <v>528</v>
      </c>
      <c r="X46" s="5">
        <v>11.0</v>
      </c>
      <c r="Y46" s="5">
        <v>220.0</v>
      </c>
      <c r="Z46" s="2" t="s">
        <v>42</v>
      </c>
    </row>
    <row r="47" ht="15.75" customHeight="1">
      <c r="A47" s="2" t="s">
        <v>529</v>
      </c>
      <c r="B47" s="2" t="s">
        <v>530</v>
      </c>
      <c r="C47" s="2" t="s">
        <v>531</v>
      </c>
      <c r="D47" s="2" t="s">
        <v>57</v>
      </c>
      <c r="E47" s="2" t="s">
        <v>84</v>
      </c>
      <c r="F47" s="2" t="s">
        <v>168</v>
      </c>
      <c r="G47" s="6" t="s">
        <v>532</v>
      </c>
      <c r="H47" s="4" t="str">
        <f>"https://" &amp; "picsum.photos/seed/cigar-46/800/600"</f>
        <v>https://picsum.photos/seed/cigar-46/800/600</v>
      </c>
      <c r="I47" s="4" t="str">
        <f>"https://" &amp; "picsum.photos/seed/cigar-46/200/200"</f>
        <v>https://picsum.photos/seed/cigar-46/200/200</v>
      </c>
      <c r="J47" s="2" t="s">
        <v>86</v>
      </c>
      <c r="K47" s="2" t="s">
        <v>134</v>
      </c>
      <c r="L47" s="2" t="s">
        <v>533</v>
      </c>
      <c r="M47" s="2" t="s">
        <v>88</v>
      </c>
      <c r="N47" s="2" t="s">
        <v>458</v>
      </c>
      <c r="O47" s="2" t="s">
        <v>534</v>
      </c>
      <c r="P47" s="2">
        <v>6.0</v>
      </c>
      <c r="Q47" s="2">
        <v>60.0</v>
      </c>
      <c r="R47" s="2">
        <v>80.0</v>
      </c>
      <c r="S47" s="2" t="s">
        <v>535</v>
      </c>
      <c r="T47" s="2" t="s">
        <v>536</v>
      </c>
      <c r="U47" s="2" t="s">
        <v>537</v>
      </c>
      <c r="V47" s="2" t="s">
        <v>538</v>
      </c>
      <c r="W47" s="2" t="s">
        <v>539</v>
      </c>
      <c r="X47" s="5">
        <v>11.5</v>
      </c>
      <c r="Y47" s="5">
        <v>276.0</v>
      </c>
      <c r="Z47" s="2" t="s">
        <v>42</v>
      </c>
    </row>
    <row r="48" ht="15.75" customHeight="1">
      <c r="A48" s="2" t="s">
        <v>540</v>
      </c>
      <c r="B48" s="2" t="s">
        <v>223</v>
      </c>
      <c r="C48" s="2" t="s">
        <v>541</v>
      </c>
      <c r="D48" s="2" t="s">
        <v>225</v>
      </c>
      <c r="E48" s="2" t="s">
        <v>113</v>
      </c>
      <c r="F48" s="2" t="s">
        <v>226</v>
      </c>
      <c r="G48" s="6" t="s">
        <v>542</v>
      </c>
      <c r="H48" s="4" t="str">
        <f>"https://" &amp; "picsum.photos/seed/cigar-47/800/600"</f>
        <v>https://picsum.photos/seed/cigar-47/800/600</v>
      </c>
      <c r="I48" s="4" t="str">
        <f>"https://" &amp; "picsum.photos/seed/cigar-47/200/200"</f>
        <v>https://picsum.photos/seed/cigar-47/200/200</v>
      </c>
      <c r="J48" s="2" t="s">
        <v>59</v>
      </c>
      <c r="K48" s="2" t="s">
        <v>543</v>
      </c>
      <c r="L48" s="2" t="s">
        <v>136</v>
      </c>
      <c r="M48" s="2" t="s">
        <v>136</v>
      </c>
      <c r="N48" s="2" t="s">
        <v>47</v>
      </c>
      <c r="O48" s="2" t="s">
        <v>336</v>
      </c>
      <c r="P48" s="2">
        <v>5.0</v>
      </c>
      <c r="Q48" s="2">
        <v>52.0</v>
      </c>
      <c r="R48" s="2">
        <v>50.0</v>
      </c>
      <c r="S48" s="2" t="s">
        <v>544</v>
      </c>
      <c r="T48" s="2" t="s">
        <v>545</v>
      </c>
      <c r="U48" s="2" t="s">
        <v>546</v>
      </c>
      <c r="V48" s="2" t="s">
        <v>547</v>
      </c>
      <c r="W48" s="2" t="s">
        <v>548</v>
      </c>
      <c r="X48" s="5">
        <v>10.0</v>
      </c>
      <c r="Y48" s="5">
        <v>240.0</v>
      </c>
      <c r="Z48" s="2" t="s">
        <v>42</v>
      </c>
    </row>
    <row r="49" ht="15.75" customHeight="1">
      <c r="A49" s="2" t="s">
        <v>549</v>
      </c>
      <c r="B49" s="2" t="s">
        <v>550</v>
      </c>
      <c r="C49" s="2" t="s">
        <v>551</v>
      </c>
      <c r="D49" s="2" t="s">
        <v>225</v>
      </c>
      <c r="E49" s="2" t="s">
        <v>113</v>
      </c>
      <c r="F49" s="2" t="s">
        <v>226</v>
      </c>
      <c r="G49" s="6" t="s">
        <v>552</v>
      </c>
      <c r="H49" s="4" t="str">
        <f>"https://" &amp; "picsum.photos/seed/cigar-48/800/600"</f>
        <v>https://picsum.photos/seed/cigar-48/800/600</v>
      </c>
      <c r="I49" s="4" t="str">
        <f>"https://" &amp; "picsum.photos/seed/cigar-48/200/200"</f>
        <v>https://picsum.photos/seed/cigar-48/200/200</v>
      </c>
      <c r="J49" s="2" t="s">
        <v>32</v>
      </c>
      <c r="K49" s="2" t="s">
        <v>553</v>
      </c>
      <c r="L49" s="2" t="s">
        <v>88</v>
      </c>
      <c r="M49" s="2" t="s">
        <v>325</v>
      </c>
      <c r="N49" s="2" t="s">
        <v>47</v>
      </c>
      <c r="O49" s="2" t="s">
        <v>554</v>
      </c>
      <c r="P49" s="2">
        <v>5.25</v>
      </c>
      <c r="Q49" s="2">
        <v>48.0</v>
      </c>
      <c r="R49" s="2">
        <v>50.0</v>
      </c>
      <c r="S49" s="2" t="s">
        <v>555</v>
      </c>
      <c r="T49" s="2" t="s">
        <v>556</v>
      </c>
      <c r="U49" s="2" t="s">
        <v>557</v>
      </c>
      <c r="V49" s="2" t="s">
        <v>558</v>
      </c>
      <c r="W49" s="2" t="s">
        <v>559</v>
      </c>
      <c r="X49" s="5">
        <v>10.5</v>
      </c>
      <c r="Y49" s="5">
        <v>262.5</v>
      </c>
      <c r="Z49" s="2" t="s">
        <v>42</v>
      </c>
    </row>
    <row r="50" ht="15.75" customHeight="1">
      <c r="A50" s="2" t="s">
        <v>560</v>
      </c>
      <c r="B50" s="2" t="s">
        <v>561</v>
      </c>
      <c r="C50" s="2" t="s">
        <v>562</v>
      </c>
      <c r="D50" s="2" t="s">
        <v>385</v>
      </c>
      <c r="E50" s="2" t="s">
        <v>84</v>
      </c>
      <c r="F50" s="2" t="s">
        <v>168</v>
      </c>
      <c r="G50" s="6" t="s">
        <v>563</v>
      </c>
      <c r="H50" s="4" t="str">
        <f>"https://" &amp; "picsum.photos/seed/cigar-49/800/600"</f>
        <v>https://picsum.photos/seed/cigar-49/800/600</v>
      </c>
      <c r="I50" s="4" t="str">
        <f>"https://" &amp; "picsum.photos/seed/cigar-49/200/200"</f>
        <v>https://picsum.photos/seed/cigar-49/200/200</v>
      </c>
      <c r="J50" s="2" t="s">
        <v>100</v>
      </c>
      <c r="K50" s="2" t="s">
        <v>564</v>
      </c>
      <c r="L50" s="2" t="s">
        <v>88</v>
      </c>
      <c r="M50" s="2" t="s">
        <v>306</v>
      </c>
      <c r="N50" s="2" t="s">
        <v>89</v>
      </c>
      <c r="O50" s="2" t="s">
        <v>90</v>
      </c>
      <c r="P50" s="2">
        <v>6.0</v>
      </c>
      <c r="Q50" s="2">
        <v>52.0</v>
      </c>
      <c r="R50" s="2">
        <v>65.0</v>
      </c>
      <c r="S50" s="2" t="s">
        <v>565</v>
      </c>
      <c r="T50" s="2" t="s">
        <v>566</v>
      </c>
      <c r="U50" s="2" t="s">
        <v>567</v>
      </c>
      <c r="V50" s="2" t="s">
        <v>568</v>
      </c>
      <c r="W50" s="2" t="s">
        <v>569</v>
      </c>
      <c r="X50" s="5">
        <v>11.0</v>
      </c>
      <c r="Y50" s="5">
        <v>220.0</v>
      </c>
      <c r="Z50" s="2" t="s">
        <v>42</v>
      </c>
    </row>
    <row r="51" ht="15.75" customHeight="1">
      <c r="A51" s="2" t="s">
        <v>570</v>
      </c>
      <c r="B51" s="2" t="s">
        <v>571</v>
      </c>
      <c r="C51" s="2" t="s">
        <v>572</v>
      </c>
      <c r="D51" s="2" t="s">
        <v>573</v>
      </c>
      <c r="E51" s="2" t="s">
        <v>30</v>
      </c>
      <c r="F51" s="2" t="s">
        <v>240</v>
      </c>
      <c r="G51" s="6" t="s">
        <v>574</v>
      </c>
      <c r="H51" s="4" t="str">
        <f>"https://" &amp; "picsum.photos/seed/cigar-50/800/600"</f>
        <v>https://picsum.photos/seed/cigar-50/800/600</v>
      </c>
      <c r="I51" s="4" t="str">
        <f>"https://" &amp; "picsum.photos/seed/cigar-50/200/200"</f>
        <v>https://picsum.photos/seed/cigar-50/200/200</v>
      </c>
      <c r="J51" s="2" t="s">
        <v>59</v>
      </c>
      <c r="K51" s="2" t="s">
        <v>575</v>
      </c>
      <c r="L51" s="2" t="s">
        <v>576</v>
      </c>
      <c r="M51" s="2" t="s">
        <v>577</v>
      </c>
      <c r="N51" s="2" t="s">
        <v>89</v>
      </c>
      <c r="O51" s="2" t="s">
        <v>171</v>
      </c>
      <c r="P51" s="2">
        <v>5.5</v>
      </c>
      <c r="Q51" s="2">
        <v>50.0</v>
      </c>
      <c r="R51" s="2">
        <v>55.0</v>
      </c>
      <c r="S51" s="2" t="s">
        <v>578</v>
      </c>
      <c r="T51" s="2" t="s">
        <v>579</v>
      </c>
      <c r="U51" s="2" t="s">
        <v>580</v>
      </c>
      <c r="V51" s="2" t="s">
        <v>581</v>
      </c>
      <c r="W51" s="2" t="s">
        <v>582</v>
      </c>
      <c r="X51" s="5">
        <v>11.5</v>
      </c>
      <c r="Y51" s="5">
        <v>276.0</v>
      </c>
      <c r="Z51" s="2" t="s">
        <v>42</v>
      </c>
    </row>
    <row r="52" ht="15.75" customHeight="1">
      <c r="A52" s="2" t="s">
        <v>583</v>
      </c>
      <c r="B52" s="2" t="s">
        <v>584</v>
      </c>
      <c r="C52" s="2" t="s">
        <v>585</v>
      </c>
      <c r="D52" s="2" t="s">
        <v>29</v>
      </c>
      <c r="E52" s="2" t="s">
        <v>30</v>
      </c>
      <c r="F52" s="2" t="s">
        <v>495</v>
      </c>
      <c r="G52" s="6" t="s">
        <v>586</v>
      </c>
      <c r="H52" s="4" t="str">
        <f>"https://" &amp; "picsum.photos/seed/cigar-51/800/600"</f>
        <v>https://picsum.photos/seed/cigar-51/800/600</v>
      </c>
      <c r="I52" s="4" t="str">
        <f>"https://" &amp; "picsum.photos/seed/cigar-51/200/200"</f>
        <v>https://picsum.photos/seed/cigar-51/200/200</v>
      </c>
      <c r="J52" s="2" t="s">
        <v>59</v>
      </c>
      <c r="K52" s="2" t="s">
        <v>412</v>
      </c>
      <c r="L52" s="2" t="s">
        <v>88</v>
      </c>
      <c r="M52" s="2" t="s">
        <v>306</v>
      </c>
      <c r="N52" s="2" t="s">
        <v>89</v>
      </c>
      <c r="O52" s="2" t="s">
        <v>90</v>
      </c>
      <c r="P52" s="2">
        <v>6.0</v>
      </c>
      <c r="Q52" s="2">
        <v>52.0</v>
      </c>
      <c r="R52" s="2">
        <v>65.0</v>
      </c>
      <c r="S52" s="2" t="s">
        <v>587</v>
      </c>
      <c r="T52" s="2" t="s">
        <v>588</v>
      </c>
      <c r="U52" s="2" t="s">
        <v>589</v>
      </c>
      <c r="V52" s="2" t="s">
        <v>590</v>
      </c>
      <c r="W52" s="2" t="s">
        <v>591</v>
      </c>
      <c r="X52" s="5">
        <v>9.0</v>
      </c>
      <c r="Y52" s="5">
        <v>180.0</v>
      </c>
      <c r="Z52" s="2" t="s">
        <v>42</v>
      </c>
    </row>
    <row r="53" ht="15.75" customHeight="1">
      <c r="A53" s="2" t="s">
        <v>592</v>
      </c>
      <c r="B53" s="2" t="s">
        <v>593</v>
      </c>
      <c r="C53" s="2" t="s">
        <v>594</v>
      </c>
      <c r="D53" s="2" t="s">
        <v>595</v>
      </c>
      <c r="E53" s="2" t="s">
        <v>30</v>
      </c>
      <c r="F53" s="2" t="s">
        <v>596</v>
      </c>
      <c r="G53" s="6" t="s">
        <v>597</v>
      </c>
      <c r="H53" s="4" t="str">
        <f>"https://" &amp; "picsum.photos/seed/cigar-52/800/600"</f>
        <v>https://picsum.photos/seed/cigar-52/800/600</v>
      </c>
      <c r="I53" s="4" t="str">
        <f>"https://" &amp; "picsum.photos/seed/cigar-52/200/200"</f>
        <v>https://picsum.photos/seed/cigar-52/200/200</v>
      </c>
      <c r="J53" s="2" t="s">
        <v>32</v>
      </c>
      <c r="K53" s="2" t="s">
        <v>598</v>
      </c>
      <c r="L53" s="2" t="s">
        <v>34</v>
      </c>
      <c r="M53" s="2" t="s">
        <v>306</v>
      </c>
      <c r="N53" s="2" t="s">
        <v>47</v>
      </c>
      <c r="O53" s="2" t="s">
        <v>425</v>
      </c>
      <c r="P53" s="2">
        <v>5.5</v>
      </c>
      <c r="Q53" s="2">
        <v>54.0</v>
      </c>
      <c r="R53" s="2">
        <v>55.0</v>
      </c>
      <c r="S53" s="2" t="s">
        <v>599</v>
      </c>
      <c r="T53" s="2" t="s">
        <v>600</v>
      </c>
      <c r="U53" s="2" t="s">
        <v>601</v>
      </c>
      <c r="V53" s="2" t="s">
        <v>602</v>
      </c>
      <c r="W53" s="2" t="s">
        <v>603</v>
      </c>
      <c r="X53" s="5">
        <v>9.5</v>
      </c>
      <c r="Y53" s="5">
        <v>190.0</v>
      </c>
      <c r="Z53" s="2" t="s">
        <v>42</v>
      </c>
    </row>
    <row r="54" ht="15.75" customHeight="1">
      <c r="A54" s="2" t="s">
        <v>604</v>
      </c>
      <c r="B54" s="2" t="s">
        <v>605</v>
      </c>
      <c r="C54" s="2" t="s">
        <v>606</v>
      </c>
      <c r="D54" s="2" t="s">
        <v>193</v>
      </c>
      <c r="E54" s="2" t="s">
        <v>194</v>
      </c>
      <c r="F54" s="2" t="s">
        <v>195</v>
      </c>
      <c r="G54" s="6" t="s">
        <v>607</v>
      </c>
      <c r="H54" s="4" t="str">
        <f>"https://" &amp; "picsum.photos/seed/cigar-53/800/600"</f>
        <v>https://picsum.photos/seed/cigar-53/800/600</v>
      </c>
      <c r="I54" s="4" t="str">
        <f>"https://" &amp; "picsum.photos/seed/cigar-53/200/200"</f>
        <v>https://picsum.photos/seed/cigar-53/200/200</v>
      </c>
      <c r="J54" s="2" t="s">
        <v>86</v>
      </c>
      <c r="K54" s="2" t="s">
        <v>197</v>
      </c>
      <c r="L54" s="2" t="s">
        <v>197</v>
      </c>
      <c r="M54" s="2" t="s">
        <v>197</v>
      </c>
      <c r="N54" s="2" t="s">
        <v>47</v>
      </c>
      <c r="O54" s="2" t="s">
        <v>198</v>
      </c>
      <c r="P54" s="2">
        <v>4.875</v>
      </c>
      <c r="Q54" s="2">
        <v>50.0</v>
      </c>
      <c r="R54" s="2">
        <v>45.0</v>
      </c>
      <c r="S54" s="2" t="s">
        <v>608</v>
      </c>
      <c r="T54" s="2" t="s">
        <v>609</v>
      </c>
      <c r="U54" s="2" t="s">
        <v>610</v>
      </c>
      <c r="V54" s="2" t="s">
        <v>611</v>
      </c>
      <c r="W54" s="2" t="s">
        <v>612</v>
      </c>
      <c r="X54" s="5">
        <v>22.0</v>
      </c>
      <c r="Y54" s="5">
        <v>550.0</v>
      </c>
      <c r="Z54" s="2" t="s">
        <v>42</v>
      </c>
    </row>
    <row r="55" ht="15.75" customHeight="1">
      <c r="A55" s="2" t="s">
        <v>613</v>
      </c>
      <c r="B55" s="2" t="s">
        <v>614</v>
      </c>
      <c r="C55" s="2" t="s">
        <v>615</v>
      </c>
      <c r="D55" s="2" t="s">
        <v>193</v>
      </c>
      <c r="E55" s="2" t="s">
        <v>194</v>
      </c>
      <c r="F55" s="2" t="s">
        <v>195</v>
      </c>
      <c r="G55" s="6" t="s">
        <v>616</v>
      </c>
      <c r="H55" s="4" t="str">
        <f>"https://" &amp; "picsum.photos/seed/cigar-54/800/600"</f>
        <v>https://picsum.photos/seed/cigar-54/800/600</v>
      </c>
      <c r="I55" s="4" t="str">
        <f>"https://" &amp; "picsum.photos/seed/cigar-54/200/200"</f>
        <v>https://picsum.photos/seed/cigar-54/200/200</v>
      </c>
      <c r="J55" s="2" t="s">
        <v>86</v>
      </c>
      <c r="K55" s="2" t="s">
        <v>197</v>
      </c>
      <c r="L55" s="2" t="s">
        <v>197</v>
      </c>
      <c r="M55" s="2" t="s">
        <v>197</v>
      </c>
      <c r="N55" s="2" t="s">
        <v>47</v>
      </c>
      <c r="O55" s="2" t="s">
        <v>198</v>
      </c>
      <c r="P55" s="2">
        <v>4.875</v>
      </c>
      <c r="Q55" s="2">
        <v>50.0</v>
      </c>
      <c r="R55" s="2">
        <v>50.0</v>
      </c>
      <c r="S55" s="2" t="s">
        <v>617</v>
      </c>
      <c r="T55" s="2" t="s">
        <v>618</v>
      </c>
      <c r="U55" s="2" t="s">
        <v>619</v>
      </c>
      <c r="V55" s="2" t="s">
        <v>620</v>
      </c>
      <c r="W55" s="2" t="s">
        <v>621</v>
      </c>
      <c r="X55" s="5">
        <v>24.0</v>
      </c>
      <c r="Y55" s="5">
        <v>600.0</v>
      </c>
      <c r="Z55" s="2" t="s">
        <v>42</v>
      </c>
    </row>
    <row r="56" ht="15.75" customHeight="1">
      <c r="A56" s="2" t="s">
        <v>622</v>
      </c>
      <c r="B56" s="2" t="s">
        <v>623</v>
      </c>
      <c r="C56" s="2" t="s">
        <v>624</v>
      </c>
      <c r="D56" s="2" t="s">
        <v>193</v>
      </c>
      <c r="E56" s="2" t="s">
        <v>194</v>
      </c>
      <c r="F56" s="2" t="s">
        <v>195</v>
      </c>
      <c r="G56" s="6" t="s">
        <v>625</v>
      </c>
      <c r="H56" s="4" t="str">
        <f>"https://" &amp; "picsum.photos/seed/cigar-55/800/600"</f>
        <v>https://picsum.photos/seed/cigar-55/800/600</v>
      </c>
      <c r="I56" s="4" t="str">
        <f>"https://" &amp; "picsum.photos/seed/cigar-55/200/200"</f>
        <v>https://picsum.photos/seed/cigar-55/200/200</v>
      </c>
      <c r="J56" s="2" t="s">
        <v>32</v>
      </c>
      <c r="K56" s="2" t="s">
        <v>197</v>
      </c>
      <c r="L56" s="2" t="s">
        <v>197</v>
      </c>
      <c r="M56" s="2" t="s">
        <v>197</v>
      </c>
      <c r="N56" s="2" t="s">
        <v>626</v>
      </c>
      <c r="O56" s="2" t="s">
        <v>627</v>
      </c>
      <c r="P56" s="2">
        <v>4.375</v>
      </c>
      <c r="Q56" s="2">
        <v>40.0</v>
      </c>
      <c r="R56" s="2">
        <v>35.0</v>
      </c>
      <c r="S56" s="2" t="s">
        <v>628</v>
      </c>
      <c r="T56" s="2" t="s">
        <v>629</v>
      </c>
      <c r="U56" s="2" t="s">
        <v>630</v>
      </c>
      <c r="V56" s="2" t="s">
        <v>631</v>
      </c>
      <c r="W56" s="2" t="s">
        <v>632</v>
      </c>
      <c r="X56" s="5">
        <v>20.0</v>
      </c>
      <c r="Y56" s="5">
        <v>480.0</v>
      </c>
      <c r="Z56" s="2" t="s">
        <v>42</v>
      </c>
    </row>
    <row r="57" ht="15.75" customHeight="1">
      <c r="A57" s="2" t="s">
        <v>633</v>
      </c>
      <c r="B57" s="2" t="s">
        <v>55</v>
      </c>
      <c r="C57" s="2" t="s">
        <v>634</v>
      </c>
      <c r="D57" s="2" t="s">
        <v>193</v>
      </c>
      <c r="E57" s="2" t="s">
        <v>194</v>
      </c>
      <c r="F57" s="2" t="s">
        <v>195</v>
      </c>
      <c r="G57" s="6" t="s">
        <v>635</v>
      </c>
      <c r="H57" s="4" t="str">
        <f>"https://" &amp; "picsum.photos/seed/cigar-56/800/600"</f>
        <v>https://picsum.photos/seed/cigar-56/800/600</v>
      </c>
      <c r="I57" s="4" t="str">
        <f>"https://" &amp; "picsum.photos/seed/cigar-56/200/200"</f>
        <v>https://picsum.photos/seed/cigar-56/200/200</v>
      </c>
      <c r="J57" s="2" t="s">
        <v>32</v>
      </c>
      <c r="K57" s="2" t="s">
        <v>197</v>
      </c>
      <c r="L57" s="2" t="s">
        <v>197</v>
      </c>
      <c r="M57" s="2" t="s">
        <v>197</v>
      </c>
      <c r="N57" s="2" t="s">
        <v>438</v>
      </c>
      <c r="O57" s="2" t="s">
        <v>636</v>
      </c>
      <c r="P57" s="2">
        <v>5.125</v>
      </c>
      <c r="Q57" s="2">
        <v>42.0</v>
      </c>
      <c r="R57" s="2">
        <v>45.0</v>
      </c>
      <c r="S57" s="2" t="s">
        <v>637</v>
      </c>
      <c r="T57" s="2" t="s">
        <v>638</v>
      </c>
      <c r="U57" s="2" t="s">
        <v>639</v>
      </c>
      <c r="V57" s="2" t="s">
        <v>640</v>
      </c>
      <c r="W57" s="2" t="s">
        <v>641</v>
      </c>
      <c r="X57" s="5">
        <v>35.0</v>
      </c>
      <c r="Y57" s="5">
        <v>875.0</v>
      </c>
      <c r="Z57" s="2" t="s">
        <v>42</v>
      </c>
    </row>
    <row r="58" ht="15.75" customHeight="1">
      <c r="A58" s="2" t="s">
        <v>642</v>
      </c>
      <c r="B58" s="2" t="s">
        <v>27</v>
      </c>
      <c r="C58" s="2" t="s">
        <v>643</v>
      </c>
      <c r="D58" s="2" t="s">
        <v>193</v>
      </c>
      <c r="E58" s="2" t="s">
        <v>194</v>
      </c>
      <c r="F58" s="2" t="s">
        <v>195</v>
      </c>
      <c r="G58" s="6" t="s">
        <v>644</v>
      </c>
      <c r="H58" s="4" t="str">
        <f>"https://" &amp; "picsum.photos/seed/cigar-57/800/600"</f>
        <v>https://picsum.photos/seed/cigar-57/800/600</v>
      </c>
      <c r="I58" s="4" t="str">
        <f>"https://" &amp; "picsum.photos/seed/cigar-57/200/200"</f>
        <v>https://picsum.photos/seed/cigar-57/200/200</v>
      </c>
      <c r="J58" s="2" t="s">
        <v>32</v>
      </c>
      <c r="K58" s="2" t="s">
        <v>197</v>
      </c>
      <c r="L58" s="2" t="s">
        <v>197</v>
      </c>
      <c r="M58" s="2" t="s">
        <v>197</v>
      </c>
      <c r="N58" s="2" t="s">
        <v>626</v>
      </c>
      <c r="O58" s="2" t="s">
        <v>636</v>
      </c>
      <c r="P58" s="2">
        <v>5.125</v>
      </c>
      <c r="Q58" s="2">
        <v>42.0</v>
      </c>
      <c r="R58" s="2">
        <v>40.0</v>
      </c>
      <c r="S58" s="2" t="s">
        <v>645</v>
      </c>
      <c r="T58" s="2" t="s">
        <v>646</v>
      </c>
      <c r="U58" s="2" t="s">
        <v>647</v>
      </c>
      <c r="V58" s="2" t="s">
        <v>648</v>
      </c>
      <c r="W58" s="2" t="s">
        <v>649</v>
      </c>
      <c r="X58" s="5">
        <v>18.0</v>
      </c>
      <c r="Y58" s="5">
        <v>450.0</v>
      </c>
      <c r="Z58" s="2" t="s">
        <v>42</v>
      </c>
    </row>
    <row r="59" ht="15.75" customHeight="1">
      <c r="A59" s="2" t="s">
        <v>650</v>
      </c>
      <c r="B59" s="2" t="s">
        <v>205</v>
      </c>
      <c r="C59" s="2" t="s">
        <v>651</v>
      </c>
      <c r="D59" s="2" t="s">
        <v>193</v>
      </c>
      <c r="E59" s="2" t="s">
        <v>194</v>
      </c>
      <c r="F59" s="2" t="s">
        <v>195</v>
      </c>
      <c r="G59" s="6" t="s">
        <v>652</v>
      </c>
      <c r="H59" s="4" t="str">
        <f>"https://" &amp; "picsum.photos/seed/cigar-58/800/600"</f>
        <v>https://picsum.photos/seed/cigar-58/800/600</v>
      </c>
      <c r="I59" s="4" t="str">
        <f>"https://" &amp; "picsum.photos/seed/cigar-58/200/200"</f>
        <v>https://picsum.photos/seed/cigar-58/200/200</v>
      </c>
      <c r="J59" s="2" t="s">
        <v>86</v>
      </c>
      <c r="K59" s="2" t="s">
        <v>197</v>
      </c>
      <c r="L59" s="2" t="s">
        <v>197</v>
      </c>
      <c r="M59" s="2" t="s">
        <v>197</v>
      </c>
      <c r="N59" s="2" t="s">
        <v>653</v>
      </c>
      <c r="O59" s="2" t="s">
        <v>36</v>
      </c>
      <c r="P59" s="2">
        <v>6.125</v>
      </c>
      <c r="Q59" s="2">
        <v>52.0</v>
      </c>
      <c r="R59" s="2">
        <v>65.0</v>
      </c>
      <c r="S59" s="2" t="s">
        <v>654</v>
      </c>
      <c r="T59" s="2" t="s">
        <v>655</v>
      </c>
      <c r="U59" s="2" t="s">
        <v>656</v>
      </c>
      <c r="V59" s="2" t="s">
        <v>657</v>
      </c>
      <c r="W59" s="2" t="s">
        <v>658</v>
      </c>
      <c r="X59" s="5">
        <v>28.0</v>
      </c>
      <c r="Y59" s="5">
        <v>700.0</v>
      </c>
      <c r="Z59" s="2" t="s">
        <v>42</v>
      </c>
    </row>
    <row r="60" ht="15.75" customHeight="1">
      <c r="A60" s="2" t="s">
        <v>659</v>
      </c>
      <c r="B60" s="2" t="s">
        <v>584</v>
      </c>
      <c r="C60" s="2" t="s">
        <v>660</v>
      </c>
      <c r="D60" s="2" t="s">
        <v>193</v>
      </c>
      <c r="E60" s="2" t="s">
        <v>194</v>
      </c>
      <c r="F60" s="2" t="s">
        <v>195</v>
      </c>
      <c r="G60" s="6" t="s">
        <v>661</v>
      </c>
      <c r="H60" s="4" t="str">
        <f>"https://" &amp; "picsum.photos/seed/cigar-59/800/600"</f>
        <v>https://picsum.photos/seed/cigar-59/800/600</v>
      </c>
      <c r="I60" s="4" t="str">
        <f>"https://" &amp; "picsum.photos/seed/cigar-59/200/200"</f>
        <v>https://picsum.photos/seed/cigar-59/200/200</v>
      </c>
      <c r="J60" s="2" t="s">
        <v>32</v>
      </c>
      <c r="K60" s="2" t="s">
        <v>197</v>
      </c>
      <c r="L60" s="2" t="s">
        <v>197</v>
      </c>
      <c r="M60" s="2" t="s">
        <v>197</v>
      </c>
      <c r="N60" s="2" t="s">
        <v>660</v>
      </c>
      <c r="O60" s="2" t="s">
        <v>662</v>
      </c>
      <c r="P60" s="2">
        <v>3.5</v>
      </c>
      <c r="Q60" s="2">
        <v>44.0</v>
      </c>
      <c r="R60" s="2">
        <v>25.0</v>
      </c>
      <c r="S60" s="2" t="s">
        <v>663</v>
      </c>
      <c r="T60" s="2" t="s">
        <v>664</v>
      </c>
      <c r="U60" s="2" t="s">
        <v>665</v>
      </c>
      <c r="V60" s="2" t="s">
        <v>666</v>
      </c>
      <c r="W60" s="2" t="s">
        <v>667</v>
      </c>
      <c r="X60" s="5">
        <v>12.0</v>
      </c>
      <c r="Y60" s="5">
        <v>300.0</v>
      </c>
      <c r="Z60" s="2" t="s">
        <v>42</v>
      </c>
    </row>
    <row r="61" ht="15.75" customHeight="1">
      <c r="A61" s="2" t="s">
        <v>668</v>
      </c>
      <c r="B61" s="2" t="s">
        <v>44</v>
      </c>
      <c r="C61" s="2" t="s">
        <v>669</v>
      </c>
      <c r="D61" s="2" t="s">
        <v>193</v>
      </c>
      <c r="E61" s="2" t="s">
        <v>194</v>
      </c>
      <c r="F61" s="2" t="s">
        <v>195</v>
      </c>
      <c r="G61" s="6" t="s">
        <v>670</v>
      </c>
      <c r="H61" s="4" t="str">
        <f>"https://" &amp; "picsum.photos/seed/cigar-60/800/600"</f>
        <v>https://picsum.photos/seed/cigar-60/800/600</v>
      </c>
      <c r="I61" s="4" t="str">
        <f>"https://" &amp; "picsum.photos/seed/cigar-60/200/200"</f>
        <v>https://picsum.photos/seed/cigar-60/200/200</v>
      </c>
      <c r="J61" s="2" t="s">
        <v>32</v>
      </c>
      <c r="K61" s="2" t="s">
        <v>197</v>
      </c>
      <c r="L61" s="2" t="s">
        <v>197</v>
      </c>
      <c r="M61" s="2" t="s">
        <v>197</v>
      </c>
      <c r="N61" s="2" t="s">
        <v>671</v>
      </c>
      <c r="O61" s="2" t="s">
        <v>672</v>
      </c>
      <c r="P61" s="2">
        <v>5.125</v>
      </c>
      <c r="Q61" s="2">
        <v>55.0</v>
      </c>
      <c r="R61" s="2">
        <v>60.0</v>
      </c>
      <c r="S61" s="2" t="s">
        <v>673</v>
      </c>
      <c r="T61" s="2" t="s">
        <v>674</v>
      </c>
      <c r="U61" s="2" t="s">
        <v>675</v>
      </c>
      <c r="V61" s="2" t="s">
        <v>676</v>
      </c>
      <c r="W61" s="2" t="s">
        <v>677</v>
      </c>
      <c r="X61" s="5">
        <v>27.0</v>
      </c>
      <c r="Y61" s="5">
        <v>675.0</v>
      </c>
      <c r="Z61" s="2" t="s">
        <v>42</v>
      </c>
    </row>
    <row r="62" ht="15.75" customHeight="1">
      <c r="A62" s="2" t="s">
        <v>678</v>
      </c>
      <c r="B62" s="2" t="s">
        <v>131</v>
      </c>
      <c r="C62" s="2" t="s">
        <v>679</v>
      </c>
      <c r="D62" s="2" t="s">
        <v>131</v>
      </c>
      <c r="E62" s="2" t="s">
        <v>84</v>
      </c>
      <c r="F62" s="2" t="s">
        <v>168</v>
      </c>
      <c r="G62" s="6" t="s">
        <v>680</v>
      </c>
      <c r="H62" s="4" t="str">
        <f>"https://" &amp; "picsum.photos/seed/cigar-61/800/600"</f>
        <v>https://picsum.photos/seed/cigar-61/800/600</v>
      </c>
      <c r="I62" s="4" t="str">
        <f>"https://" &amp; "picsum.photos/seed/cigar-61/200/200"</f>
        <v>https://picsum.photos/seed/cigar-61/200/200</v>
      </c>
      <c r="J62" s="2" t="s">
        <v>100</v>
      </c>
      <c r="K62" s="2" t="s">
        <v>681</v>
      </c>
      <c r="L62" s="2" t="s">
        <v>88</v>
      </c>
      <c r="M62" s="2" t="s">
        <v>88</v>
      </c>
      <c r="N62" s="2" t="s">
        <v>47</v>
      </c>
      <c r="O62" s="2" t="s">
        <v>682</v>
      </c>
      <c r="P62" s="2">
        <v>5.0</v>
      </c>
      <c r="Q62" s="2">
        <v>54.0</v>
      </c>
      <c r="R62" s="2">
        <v>45.0</v>
      </c>
      <c r="S62" s="2" t="s">
        <v>683</v>
      </c>
      <c r="T62" s="2" t="s">
        <v>684</v>
      </c>
      <c r="U62" s="2" t="s">
        <v>685</v>
      </c>
      <c r="V62" s="2" t="s">
        <v>686</v>
      </c>
      <c r="W62" s="2" t="s">
        <v>687</v>
      </c>
      <c r="X62" s="5">
        <v>10.0</v>
      </c>
      <c r="Y62" s="5">
        <v>240.0</v>
      </c>
      <c r="Z62" s="2" t="s">
        <v>42</v>
      </c>
    </row>
    <row r="63" ht="15.75" customHeight="1">
      <c r="A63" s="2" t="s">
        <v>688</v>
      </c>
      <c r="B63" s="2" t="s">
        <v>178</v>
      </c>
      <c r="C63" s="2" t="s">
        <v>689</v>
      </c>
      <c r="D63" s="2" t="s">
        <v>180</v>
      </c>
      <c r="E63" s="2" t="s">
        <v>84</v>
      </c>
      <c r="F63" s="2" t="s">
        <v>168</v>
      </c>
      <c r="G63" s="6" t="s">
        <v>690</v>
      </c>
      <c r="H63" s="4" t="str">
        <f>"https://" &amp; "picsum.photos/seed/cigar-62/800/600"</f>
        <v>https://picsum.photos/seed/cigar-62/800/600</v>
      </c>
      <c r="I63" s="4" t="str">
        <f>"https://" &amp; "picsum.photos/seed/cigar-62/200/200"</f>
        <v>https://picsum.photos/seed/cigar-62/200/200</v>
      </c>
      <c r="J63" s="2" t="s">
        <v>32</v>
      </c>
      <c r="K63" s="2" t="s">
        <v>60</v>
      </c>
      <c r="L63" s="2" t="s">
        <v>88</v>
      </c>
      <c r="M63" s="2" t="s">
        <v>88</v>
      </c>
      <c r="N63" s="2" t="s">
        <v>458</v>
      </c>
      <c r="O63" s="2" t="s">
        <v>691</v>
      </c>
      <c r="P63" s="2">
        <v>4.0</v>
      </c>
      <c r="Q63" s="2">
        <v>60.0</v>
      </c>
      <c r="R63" s="2">
        <v>45.0</v>
      </c>
      <c r="S63" s="2" t="s">
        <v>692</v>
      </c>
      <c r="T63" s="2" t="s">
        <v>693</v>
      </c>
      <c r="U63" s="2" t="s">
        <v>694</v>
      </c>
      <c r="V63" s="2" t="s">
        <v>695</v>
      </c>
      <c r="W63" s="2" t="s">
        <v>696</v>
      </c>
      <c r="X63" s="5">
        <v>8.0</v>
      </c>
      <c r="Y63" s="5">
        <v>192.0</v>
      </c>
      <c r="Z63" s="2" t="s">
        <v>42</v>
      </c>
    </row>
    <row r="64" ht="15.75" customHeight="1">
      <c r="A64" s="2" t="s">
        <v>697</v>
      </c>
      <c r="B64" s="2" t="s">
        <v>178</v>
      </c>
      <c r="C64" s="2" t="s">
        <v>689</v>
      </c>
      <c r="D64" s="2" t="s">
        <v>180</v>
      </c>
      <c r="E64" s="2" t="s">
        <v>84</v>
      </c>
      <c r="F64" s="2" t="s">
        <v>168</v>
      </c>
      <c r="G64" s="6" t="s">
        <v>698</v>
      </c>
      <c r="H64" s="4" t="str">
        <f>"https://" &amp; "picsum.photos/seed/cigar-63/800/600"</f>
        <v>https://picsum.photos/seed/cigar-63/800/600</v>
      </c>
      <c r="I64" s="4" t="str">
        <f>"https://" &amp; "picsum.photos/seed/cigar-63/200/200"</f>
        <v>https://picsum.photos/seed/cigar-63/200/200</v>
      </c>
      <c r="J64" s="2" t="s">
        <v>100</v>
      </c>
      <c r="K64" s="2" t="s">
        <v>101</v>
      </c>
      <c r="L64" s="2" t="s">
        <v>88</v>
      </c>
      <c r="M64" s="2" t="s">
        <v>88</v>
      </c>
      <c r="N64" s="2" t="s">
        <v>458</v>
      </c>
      <c r="O64" s="2" t="s">
        <v>691</v>
      </c>
      <c r="P64" s="2">
        <v>4.0</v>
      </c>
      <c r="Q64" s="2">
        <v>60.0</v>
      </c>
      <c r="R64" s="2">
        <v>45.0</v>
      </c>
      <c r="S64" s="2" t="s">
        <v>699</v>
      </c>
      <c r="T64" s="2" t="s">
        <v>700</v>
      </c>
      <c r="U64" s="2" t="s">
        <v>701</v>
      </c>
      <c r="V64" s="2" t="s">
        <v>702</v>
      </c>
      <c r="W64" s="2" t="s">
        <v>703</v>
      </c>
      <c r="X64" s="5">
        <v>8.0</v>
      </c>
      <c r="Y64" s="5">
        <v>192.0</v>
      </c>
      <c r="Z64" s="2" t="s">
        <v>42</v>
      </c>
    </row>
    <row r="65" ht="15.75" customHeight="1">
      <c r="A65" s="2" t="s">
        <v>704</v>
      </c>
      <c r="B65" s="2" t="s">
        <v>111</v>
      </c>
      <c r="C65" s="2" t="s">
        <v>705</v>
      </c>
      <c r="D65" s="2" t="s">
        <v>111</v>
      </c>
      <c r="E65" s="2" t="s">
        <v>113</v>
      </c>
      <c r="F65" s="2" t="s">
        <v>226</v>
      </c>
      <c r="G65" s="6" t="s">
        <v>706</v>
      </c>
      <c r="H65" s="4" t="str">
        <f>"https://" &amp; "picsum.photos/seed/cigar-64/800/600"</f>
        <v>https://picsum.photos/seed/cigar-64/800/600</v>
      </c>
      <c r="I65" s="4" t="str">
        <f>"https://" &amp; "picsum.photos/seed/cigar-64/200/200"</f>
        <v>https://picsum.photos/seed/cigar-64/200/200</v>
      </c>
      <c r="J65" s="2" t="s">
        <v>32</v>
      </c>
      <c r="K65" s="2" t="s">
        <v>707</v>
      </c>
      <c r="L65" s="2" t="s">
        <v>88</v>
      </c>
      <c r="M65" s="2" t="s">
        <v>306</v>
      </c>
      <c r="N65" s="2" t="s">
        <v>47</v>
      </c>
      <c r="O65" s="2" t="s">
        <v>171</v>
      </c>
      <c r="P65" s="2">
        <v>5.5</v>
      </c>
      <c r="Q65" s="2">
        <v>50.0</v>
      </c>
      <c r="R65" s="2">
        <v>50.0</v>
      </c>
      <c r="S65" s="2" t="s">
        <v>708</v>
      </c>
      <c r="T65" s="2" t="s">
        <v>709</v>
      </c>
      <c r="U65" s="2" t="s">
        <v>51</v>
      </c>
      <c r="V65" s="2" t="s">
        <v>710</v>
      </c>
      <c r="W65" s="2" t="s">
        <v>711</v>
      </c>
      <c r="X65" s="5">
        <v>10.5</v>
      </c>
      <c r="Y65" s="5">
        <v>210.0</v>
      </c>
      <c r="Z65" s="2" t="s">
        <v>42</v>
      </c>
    </row>
    <row r="66" ht="15.75" customHeight="1">
      <c r="A66" s="2" t="s">
        <v>712</v>
      </c>
      <c r="B66" s="2" t="s">
        <v>111</v>
      </c>
      <c r="C66" s="2" t="s">
        <v>713</v>
      </c>
      <c r="D66" s="2" t="s">
        <v>111</v>
      </c>
      <c r="E66" s="2" t="s">
        <v>113</v>
      </c>
      <c r="F66" s="2" t="s">
        <v>226</v>
      </c>
      <c r="G66" s="6" t="s">
        <v>714</v>
      </c>
      <c r="H66" s="4" t="str">
        <f>"https://" &amp; "picsum.photos/seed/cigar-65/800/600"</f>
        <v>https://picsum.photos/seed/cigar-65/800/600</v>
      </c>
      <c r="I66" s="4" t="str">
        <f>"https://" &amp; "picsum.photos/seed/cigar-65/200/200"</f>
        <v>https://picsum.photos/seed/cigar-65/200/200</v>
      </c>
      <c r="J66" s="2" t="s">
        <v>86</v>
      </c>
      <c r="K66" s="2" t="s">
        <v>515</v>
      </c>
      <c r="L66" s="2" t="s">
        <v>88</v>
      </c>
      <c r="M66" s="2" t="s">
        <v>136</v>
      </c>
      <c r="N66" s="2" t="s">
        <v>89</v>
      </c>
      <c r="O66" s="2" t="s">
        <v>90</v>
      </c>
      <c r="P66" s="2">
        <v>6.0</v>
      </c>
      <c r="Q66" s="2">
        <v>52.0</v>
      </c>
      <c r="R66" s="2">
        <v>65.0</v>
      </c>
      <c r="S66" s="2" t="s">
        <v>715</v>
      </c>
      <c r="T66" s="2" t="s">
        <v>716</v>
      </c>
      <c r="U66" s="2" t="s">
        <v>717</v>
      </c>
      <c r="V66" s="2" t="s">
        <v>718</v>
      </c>
      <c r="W66" s="2" t="s">
        <v>719</v>
      </c>
      <c r="X66" s="5">
        <v>7.5</v>
      </c>
      <c r="Y66" s="5">
        <v>150.0</v>
      </c>
      <c r="Z66" s="2" t="s">
        <v>42</v>
      </c>
    </row>
    <row r="67" ht="15.75" customHeight="1">
      <c r="A67" s="2" t="s">
        <v>720</v>
      </c>
      <c r="B67" s="2" t="s">
        <v>143</v>
      </c>
      <c r="C67" s="2" t="s">
        <v>721</v>
      </c>
      <c r="D67" s="2" t="s">
        <v>143</v>
      </c>
      <c r="E67" s="2" t="s">
        <v>84</v>
      </c>
      <c r="F67" s="2" t="s">
        <v>168</v>
      </c>
      <c r="G67" s="6" t="s">
        <v>722</v>
      </c>
      <c r="H67" s="4" t="str">
        <f>"https://" &amp; "picsum.photos/seed/cigar-66/800/600"</f>
        <v>https://picsum.photos/seed/cigar-66/800/600</v>
      </c>
      <c r="I67" s="4" t="str">
        <f>"https://" &amp; "picsum.photos/seed/cigar-66/200/200"</f>
        <v>https://picsum.photos/seed/cigar-66/200/200</v>
      </c>
      <c r="J67" s="2" t="s">
        <v>59</v>
      </c>
      <c r="K67" s="2" t="s">
        <v>723</v>
      </c>
      <c r="L67" s="2" t="s">
        <v>88</v>
      </c>
      <c r="M67" s="2" t="s">
        <v>88</v>
      </c>
      <c r="N67" s="2" t="s">
        <v>89</v>
      </c>
      <c r="O67" s="2" t="s">
        <v>724</v>
      </c>
      <c r="P67" s="2">
        <v>6.5</v>
      </c>
      <c r="Q67" s="2">
        <v>54.0</v>
      </c>
      <c r="R67" s="2">
        <v>75.0</v>
      </c>
      <c r="S67" s="2" t="s">
        <v>725</v>
      </c>
      <c r="T67" s="2" t="s">
        <v>726</v>
      </c>
      <c r="U67" s="2" t="s">
        <v>727</v>
      </c>
      <c r="V67" s="2" t="s">
        <v>728</v>
      </c>
      <c r="W67" s="2" t="s">
        <v>729</v>
      </c>
      <c r="X67" s="5">
        <v>11.0</v>
      </c>
      <c r="Y67" s="5">
        <v>264.0</v>
      </c>
      <c r="Z67" s="2" t="s">
        <v>42</v>
      </c>
    </row>
    <row r="68" ht="15.75" customHeight="1">
      <c r="A68" s="2" t="s">
        <v>730</v>
      </c>
      <c r="B68" s="2" t="s">
        <v>122</v>
      </c>
      <c r="C68" s="2" t="s">
        <v>731</v>
      </c>
      <c r="D68" s="2" t="s">
        <v>123</v>
      </c>
      <c r="E68" s="2" t="s">
        <v>30</v>
      </c>
      <c r="F68" s="2" t="s">
        <v>155</v>
      </c>
      <c r="G68" s="6" t="s">
        <v>732</v>
      </c>
      <c r="H68" s="4" t="str">
        <f>"https://" &amp; "picsum.photos/seed/cigar-67/800/600"</f>
        <v>https://picsum.photos/seed/cigar-67/800/600</v>
      </c>
      <c r="I68" s="4" t="str">
        <f>"https://" &amp; "picsum.photos/seed/cigar-67/200/200"</f>
        <v>https://picsum.photos/seed/cigar-67/200/200</v>
      </c>
      <c r="J68" s="2" t="s">
        <v>86</v>
      </c>
      <c r="K68" s="2" t="s">
        <v>157</v>
      </c>
      <c r="L68" s="2" t="s">
        <v>34</v>
      </c>
      <c r="M68" s="2" t="s">
        <v>34</v>
      </c>
      <c r="N68" s="2" t="s">
        <v>47</v>
      </c>
      <c r="O68" s="2" t="s">
        <v>90</v>
      </c>
      <c r="P68" s="2">
        <v>6.0</v>
      </c>
      <c r="Q68" s="2">
        <v>52.0</v>
      </c>
      <c r="R68" s="2">
        <v>65.0</v>
      </c>
      <c r="S68" s="2" t="s">
        <v>733</v>
      </c>
      <c r="T68" s="2" t="s">
        <v>734</v>
      </c>
      <c r="U68" s="2" t="s">
        <v>735</v>
      </c>
      <c r="V68" s="2" t="s">
        <v>736</v>
      </c>
      <c r="W68" s="2" t="s">
        <v>737</v>
      </c>
      <c r="X68" s="5">
        <v>22.0</v>
      </c>
      <c r="Y68" s="5">
        <v>550.0</v>
      </c>
      <c r="Z68" s="2" t="s">
        <v>42</v>
      </c>
    </row>
    <row r="69" ht="15.75" customHeight="1">
      <c r="A69" s="2" t="s">
        <v>738</v>
      </c>
      <c r="B69" s="2" t="s">
        <v>123</v>
      </c>
      <c r="C69" s="2" t="s">
        <v>739</v>
      </c>
      <c r="D69" s="2" t="s">
        <v>123</v>
      </c>
      <c r="E69" s="2" t="s">
        <v>30</v>
      </c>
      <c r="F69" s="2" t="s">
        <v>155</v>
      </c>
      <c r="G69" s="6" t="s">
        <v>740</v>
      </c>
      <c r="H69" s="4" t="str">
        <f>"https://" &amp; "picsum.photos/seed/cigar-68/800/600"</f>
        <v>https://picsum.photos/seed/cigar-68/800/600</v>
      </c>
      <c r="I69" s="4" t="str">
        <f>"https://" &amp; "picsum.photos/seed/cigar-68/200/200"</f>
        <v>https://picsum.photos/seed/cigar-68/200/200</v>
      </c>
      <c r="J69" s="2" t="s">
        <v>86</v>
      </c>
      <c r="K69" s="2" t="s">
        <v>741</v>
      </c>
      <c r="L69" s="2" t="s">
        <v>34</v>
      </c>
      <c r="M69" s="2" t="s">
        <v>34</v>
      </c>
      <c r="N69" s="2" t="s">
        <v>184</v>
      </c>
      <c r="O69" s="2" t="s">
        <v>742</v>
      </c>
      <c r="P69" s="2">
        <v>5.875</v>
      </c>
      <c r="Q69" s="2">
        <v>64.0</v>
      </c>
      <c r="R69" s="2">
        <v>70.0</v>
      </c>
      <c r="S69" s="2" t="s">
        <v>743</v>
      </c>
      <c r="T69" s="2" t="s">
        <v>744</v>
      </c>
      <c r="U69" s="2" t="s">
        <v>745</v>
      </c>
      <c r="V69" s="2" t="s">
        <v>746</v>
      </c>
      <c r="W69" s="2" t="s">
        <v>747</v>
      </c>
      <c r="X69" s="5">
        <v>16.0</v>
      </c>
      <c r="Y69" s="5">
        <v>400.0</v>
      </c>
      <c r="Z69" s="2" t="s">
        <v>42</v>
      </c>
    </row>
    <row r="70" ht="15.75" customHeight="1">
      <c r="A70" s="2" t="s">
        <v>748</v>
      </c>
      <c r="B70" s="2" t="s">
        <v>166</v>
      </c>
      <c r="C70" s="2" t="s">
        <v>749</v>
      </c>
      <c r="D70" s="2" t="s">
        <v>166</v>
      </c>
      <c r="E70" s="2" t="s">
        <v>84</v>
      </c>
      <c r="F70" s="2" t="s">
        <v>168</v>
      </c>
      <c r="G70" s="6" t="s">
        <v>750</v>
      </c>
      <c r="H70" s="4" t="str">
        <f>"https://" &amp; "picsum.photos/seed/cigar-69/800/600"</f>
        <v>https://picsum.photos/seed/cigar-69/800/600</v>
      </c>
      <c r="I70" s="4" t="str">
        <f>"https://" &amp; "picsum.photos/seed/cigar-69/200/200"</f>
        <v>https://picsum.photos/seed/cigar-69/200/200</v>
      </c>
      <c r="J70" s="2" t="s">
        <v>86</v>
      </c>
      <c r="K70" s="2" t="s">
        <v>170</v>
      </c>
      <c r="L70" s="2" t="s">
        <v>88</v>
      </c>
      <c r="M70" s="2" t="s">
        <v>88</v>
      </c>
      <c r="N70" s="2" t="s">
        <v>89</v>
      </c>
      <c r="O70" s="2" t="s">
        <v>90</v>
      </c>
      <c r="P70" s="2">
        <v>6.0</v>
      </c>
      <c r="Q70" s="2">
        <v>52.0</v>
      </c>
      <c r="R70" s="2">
        <v>70.0</v>
      </c>
      <c r="S70" s="2" t="s">
        <v>751</v>
      </c>
      <c r="T70" s="2" t="s">
        <v>752</v>
      </c>
      <c r="U70" s="2" t="s">
        <v>619</v>
      </c>
      <c r="V70" s="2" t="s">
        <v>753</v>
      </c>
      <c r="W70" s="2" t="s">
        <v>754</v>
      </c>
      <c r="X70" s="5">
        <v>28.0</v>
      </c>
      <c r="Y70" s="5">
        <v>280.0</v>
      </c>
      <c r="Z70" s="2" t="s">
        <v>42</v>
      </c>
    </row>
    <row r="71" ht="15.75" customHeight="1">
      <c r="A71" s="2" t="s">
        <v>755</v>
      </c>
      <c r="B71" s="2" t="s">
        <v>97</v>
      </c>
      <c r="C71" s="2" t="s">
        <v>756</v>
      </c>
      <c r="D71" s="2" t="s">
        <v>97</v>
      </c>
      <c r="E71" s="2" t="s">
        <v>30</v>
      </c>
      <c r="F71" s="2" t="s">
        <v>240</v>
      </c>
      <c r="G71" s="6" t="s">
        <v>757</v>
      </c>
      <c r="H71" s="4" t="str">
        <f>"https://" &amp; "picsum.photos/seed/cigar-70/800/600"</f>
        <v>https://picsum.photos/seed/cigar-70/800/600</v>
      </c>
      <c r="I71" s="4" t="str">
        <f>"https://" &amp; "picsum.photos/seed/cigar-70/200/200"</f>
        <v>https://picsum.photos/seed/cigar-70/200/200</v>
      </c>
      <c r="J71" s="2" t="s">
        <v>100</v>
      </c>
      <c r="K71" s="2" t="s">
        <v>101</v>
      </c>
      <c r="L71" s="2" t="s">
        <v>34</v>
      </c>
      <c r="M71" s="2" t="s">
        <v>34</v>
      </c>
      <c r="N71" s="2" t="s">
        <v>438</v>
      </c>
      <c r="O71" s="2" t="s">
        <v>758</v>
      </c>
      <c r="P71" s="2">
        <v>5.625</v>
      </c>
      <c r="Q71" s="2">
        <v>43.0</v>
      </c>
      <c r="R71" s="2">
        <v>45.0</v>
      </c>
      <c r="S71" s="2" t="s">
        <v>759</v>
      </c>
      <c r="T71" s="2" t="s">
        <v>760</v>
      </c>
      <c r="U71" s="2" t="s">
        <v>761</v>
      </c>
      <c r="V71" s="2" t="s">
        <v>762</v>
      </c>
      <c r="W71" s="2" t="s">
        <v>763</v>
      </c>
      <c r="X71" s="5">
        <v>21.0</v>
      </c>
      <c r="Y71" s="5">
        <v>525.0</v>
      </c>
      <c r="Z71" s="2" t="s">
        <v>42</v>
      </c>
    </row>
    <row r="72" ht="15.75" customHeight="1">
      <c r="A72" s="2" t="s">
        <v>764</v>
      </c>
      <c r="B72" s="2" t="s">
        <v>97</v>
      </c>
      <c r="C72" s="2" t="s">
        <v>84</v>
      </c>
      <c r="D72" s="2" t="s">
        <v>97</v>
      </c>
      <c r="E72" s="2" t="s">
        <v>765</v>
      </c>
      <c r="F72" s="2" t="s">
        <v>168</v>
      </c>
      <c r="G72" s="6" t="s">
        <v>766</v>
      </c>
      <c r="H72" s="4" t="str">
        <f>"https://" &amp; "picsum.photos/seed/cigar-71/800/600"</f>
        <v>https://picsum.photos/seed/cigar-71/800/600</v>
      </c>
      <c r="I72" s="4" t="str">
        <f>"https://" &amp; "picsum.photos/seed/cigar-71/200/200"</f>
        <v>https://picsum.photos/seed/cigar-71/200/200</v>
      </c>
      <c r="J72" s="2" t="s">
        <v>59</v>
      </c>
      <c r="K72" s="2" t="s">
        <v>767</v>
      </c>
      <c r="L72" s="2" t="s">
        <v>768</v>
      </c>
      <c r="M72" s="2" t="s">
        <v>769</v>
      </c>
      <c r="N72" s="2" t="s">
        <v>89</v>
      </c>
      <c r="O72" s="2" t="s">
        <v>425</v>
      </c>
      <c r="P72" s="2">
        <v>5.5</v>
      </c>
      <c r="Q72" s="2">
        <v>54.0</v>
      </c>
      <c r="R72" s="2">
        <v>60.0</v>
      </c>
      <c r="S72" s="2" t="s">
        <v>770</v>
      </c>
      <c r="T72" s="2" t="s">
        <v>771</v>
      </c>
      <c r="U72" s="2" t="s">
        <v>330</v>
      </c>
      <c r="V72" s="2" t="s">
        <v>772</v>
      </c>
      <c r="W72" s="2" t="s">
        <v>773</v>
      </c>
      <c r="X72" s="5">
        <v>23.0</v>
      </c>
      <c r="Y72" s="5">
        <v>276.0</v>
      </c>
      <c r="Z72" s="2" t="s">
        <v>42</v>
      </c>
    </row>
    <row r="73" ht="15.75" customHeight="1">
      <c r="A73" s="2" t="s">
        <v>774</v>
      </c>
      <c r="B73" s="2" t="s">
        <v>393</v>
      </c>
      <c r="C73" s="2" t="s">
        <v>775</v>
      </c>
      <c r="D73" s="2" t="s">
        <v>395</v>
      </c>
      <c r="E73" s="2" t="s">
        <v>84</v>
      </c>
      <c r="F73" s="2" t="s">
        <v>168</v>
      </c>
      <c r="G73" s="6" t="s">
        <v>776</v>
      </c>
      <c r="H73" s="4" t="str">
        <f>"https://" &amp; "picsum.photos/seed/cigar-72/800/600"</f>
        <v>https://picsum.photos/seed/cigar-72/800/600</v>
      </c>
      <c r="I73" s="4" t="str">
        <f>"https://" &amp; "picsum.photos/seed/cigar-72/200/200"</f>
        <v>https://picsum.photos/seed/cigar-72/200/200</v>
      </c>
      <c r="J73" s="2" t="s">
        <v>86</v>
      </c>
      <c r="K73" s="2" t="s">
        <v>134</v>
      </c>
      <c r="L73" s="2" t="s">
        <v>88</v>
      </c>
      <c r="M73" s="2" t="s">
        <v>88</v>
      </c>
      <c r="N73" s="2" t="s">
        <v>47</v>
      </c>
      <c r="O73" s="2" t="s">
        <v>336</v>
      </c>
      <c r="P73" s="2">
        <v>5.0</v>
      </c>
      <c r="Q73" s="2">
        <v>52.0</v>
      </c>
      <c r="R73" s="2">
        <v>50.0</v>
      </c>
      <c r="S73" s="2" t="s">
        <v>777</v>
      </c>
      <c r="T73" s="2" t="s">
        <v>778</v>
      </c>
      <c r="U73" s="2" t="s">
        <v>717</v>
      </c>
      <c r="V73" s="2" t="s">
        <v>779</v>
      </c>
      <c r="W73" s="2" t="s">
        <v>780</v>
      </c>
      <c r="X73" s="5">
        <v>10.5</v>
      </c>
      <c r="Y73" s="5">
        <v>210.0</v>
      </c>
      <c r="Z73" s="2" t="s">
        <v>42</v>
      </c>
    </row>
    <row r="74" ht="15.75" customHeight="1">
      <c r="A74" s="2" t="s">
        <v>781</v>
      </c>
      <c r="B74" s="2" t="s">
        <v>420</v>
      </c>
      <c r="C74" s="2" t="s">
        <v>782</v>
      </c>
      <c r="D74" s="2" t="s">
        <v>422</v>
      </c>
      <c r="E74" s="2" t="s">
        <v>84</v>
      </c>
      <c r="F74" s="2" t="s">
        <v>168</v>
      </c>
      <c r="G74" s="6" t="s">
        <v>783</v>
      </c>
      <c r="H74" s="4" t="str">
        <f>"https://" &amp; "picsum.photos/seed/cigar-73/800/600"</f>
        <v>https://picsum.photos/seed/cigar-73/800/600</v>
      </c>
      <c r="I74" s="4" t="str">
        <f>"https://" &amp; "picsum.photos/seed/cigar-73/200/200"</f>
        <v>https://picsum.photos/seed/cigar-73/200/200</v>
      </c>
      <c r="J74" s="2" t="s">
        <v>86</v>
      </c>
      <c r="K74" s="2" t="s">
        <v>305</v>
      </c>
      <c r="L74" s="2" t="s">
        <v>134</v>
      </c>
      <c r="M74" s="2" t="s">
        <v>784</v>
      </c>
      <c r="N74" s="2" t="s">
        <v>184</v>
      </c>
      <c r="O74" s="2" t="s">
        <v>785</v>
      </c>
      <c r="P74" s="2">
        <v>5.0</v>
      </c>
      <c r="Q74" s="2">
        <v>56.0</v>
      </c>
      <c r="R74" s="2">
        <v>50.0</v>
      </c>
      <c r="S74" s="2" t="s">
        <v>786</v>
      </c>
      <c r="T74" s="2" t="s">
        <v>787</v>
      </c>
      <c r="U74" s="2" t="s">
        <v>788</v>
      </c>
      <c r="V74" s="2" t="s">
        <v>789</v>
      </c>
      <c r="W74" s="2" t="s">
        <v>790</v>
      </c>
      <c r="X74" s="5">
        <v>11.0</v>
      </c>
      <c r="Y74" s="5">
        <v>165.0</v>
      </c>
      <c r="Z74" s="2" t="s">
        <v>42</v>
      </c>
    </row>
    <row r="75" ht="15.75" customHeight="1">
      <c r="A75" s="2" t="s">
        <v>791</v>
      </c>
      <c r="B75" s="2" t="s">
        <v>383</v>
      </c>
      <c r="C75" s="2" t="s">
        <v>792</v>
      </c>
      <c r="D75" s="2" t="s">
        <v>385</v>
      </c>
      <c r="E75" s="2" t="s">
        <v>84</v>
      </c>
      <c r="F75" s="2" t="s">
        <v>168</v>
      </c>
      <c r="G75" s="6" t="s">
        <v>793</v>
      </c>
      <c r="H75" s="4" t="str">
        <f>"https://" &amp; "picsum.photos/seed/cigar-74/800/600"</f>
        <v>https://picsum.photos/seed/cigar-74/800/600</v>
      </c>
      <c r="I75" s="4" t="str">
        <f>"https://" &amp; "picsum.photos/seed/cigar-74/200/200"</f>
        <v>https://picsum.photos/seed/cigar-74/200/200</v>
      </c>
      <c r="J75" s="2" t="s">
        <v>86</v>
      </c>
      <c r="K75" s="2" t="s">
        <v>794</v>
      </c>
      <c r="L75" s="2" t="s">
        <v>88</v>
      </c>
      <c r="M75" s="2" t="s">
        <v>795</v>
      </c>
      <c r="N75" s="2" t="s">
        <v>89</v>
      </c>
      <c r="O75" s="2" t="s">
        <v>90</v>
      </c>
      <c r="P75" s="2">
        <v>6.0</v>
      </c>
      <c r="Q75" s="2">
        <v>52.0</v>
      </c>
      <c r="R75" s="2">
        <v>65.0</v>
      </c>
      <c r="S75" s="2" t="s">
        <v>796</v>
      </c>
      <c r="T75" s="2" t="s">
        <v>797</v>
      </c>
      <c r="U75" s="2" t="s">
        <v>348</v>
      </c>
      <c r="V75" s="2" t="s">
        <v>798</v>
      </c>
      <c r="W75" s="2" t="s">
        <v>799</v>
      </c>
      <c r="X75" s="5">
        <v>14.5</v>
      </c>
      <c r="Y75" s="5">
        <v>174.0</v>
      </c>
      <c r="Z75" s="2" t="s">
        <v>42</v>
      </c>
    </row>
    <row r="76" ht="15.75" customHeight="1">
      <c r="A76" s="2" t="s">
        <v>800</v>
      </c>
      <c r="B76" s="2" t="s">
        <v>408</v>
      </c>
      <c r="C76" s="2" t="s">
        <v>801</v>
      </c>
      <c r="D76" s="2" t="s">
        <v>83</v>
      </c>
      <c r="E76" s="2" t="s">
        <v>84</v>
      </c>
      <c r="F76" s="2" t="s">
        <v>168</v>
      </c>
      <c r="G76" s="6" t="s">
        <v>802</v>
      </c>
      <c r="H76" s="4" t="str">
        <f>"https://" &amp; "picsum.photos/seed/cigar-75/800/600"</f>
        <v>https://picsum.photos/seed/cigar-75/800/600</v>
      </c>
      <c r="I76" s="4" t="str">
        <f>"https://" &amp; "picsum.photos/seed/cigar-75/200/200"</f>
        <v>https://picsum.photos/seed/cigar-75/200/200</v>
      </c>
      <c r="J76" s="2" t="s">
        <v>59</v>
      </c>
      <c r="K76" s="2" t="s">
        <v>305</v>
      </c>
      <c r="L76" s="2" t="s">
        <v>88</v>
      </c>
      <c r="M76" s="2" t="s">
        <v>88</v>
      </c>
      <c r="N76" s="2" t="s">
        <v>158</v>
      </c>
      <c r="O76" s="2" t="s">
        <v>803</v>
      </c>
      <c r="P76" s="2">
        <v>6.5</v>
      </c>
      <c r="Q76" s="2">
        <v>46.0</v>
      </c>
      <c r="R76" s="2">
        <v>60.0</v>
      </c>
      <c r="S76" s="2" t="s">
        <v>804</v>
      </c>
      <c r="T76" s="2" t="s">
        <v>805</v>
      </c>
      <c r="U76" s="2" t="s">
        <v>806</v>
      </c>
      <c r="V76" s="2" t="s">
        <v>807</v>
      </c>
      <c r="W76" s="2" t="s">
        <v>808</v>
      </c>
      <c r="X76" s="5">
        <v>10.0</v>
      </c>
      <c r="Y76" s="5">
        <v>240.0</v>
      </c>
      <c r="Z76" s="2" t="s">
        <v>42</v>
      </c>
    </row>
    <row r="77" ht="15.75" customHeight="1">
      <c r="A77" s="2" t="s">
        <v>809</v>
      </c>
      <c r="B77" s="2" t="s">
        <v>432</v>
      </c>
      <c r="C77" s="2" t="s">
        <v>810</v>
      </c>
      <c r="D77" s="2" t="s">
        <v>434</v>
      </c>
      <c r="E77" s="2" t="s">
        <v>84</v>
      </c>
      <c r="F77" s="2" t="s">
        <v>168</v>
      </c>
      <c r="G77" s="6" t="s">
        <v>811</v>
      </c>
      <c r="H77" s="4" t="str">
        <f>"https://" &amp; "picsum.photos/seed/cigar-76/800/600"</f>
        <v>https://picsum.photos/seed/cigar-76/800/600</v>
      </c>
      <c r="I77" s="4" t="str">
        <f>"https://" &amp; "picsum.photos/seed/cigar-76/200/200"</f>
        <v>https://picsum.photos/seed/cigar-76/200/200</v>
      </c>
      <c r="J77" s="2" t="s">
        <v>32</v>
      </c>
      <c r="K77" s="2" t="s">
        <v>436</v>
      </c>
      <c r="L77" s="2" t="s">
        <v>88</v>
      </c>
      <c r="M77" s="2" t="s">
        <v>437</v>
      </c>
      <c r="N77" s="2" t="s">
        <v>812</v>
      </c>
      <c r="O77" s="2" t="s">
        <v>813</v>
      </c>
      <c r="P77" s="2">
        <v>5.25</v>
      </c>
      <c r="Q77" s="2">
        <v>42.0</v>
      </c>
      <c r="R77" s="2">
        <v>45.0</v>
      </c>
      <c r="S77" s="2" t="s">
        <v>814</v>
      </c>
      <c r="T77" s="2" t="s">
        <v>815</v>
      </c>
      <c r="U77" s="2" t="s">
        <v>816</v>
      </c>
      <c r="V77" s="2" t="s">
        <v>817</v>
      </c>
      <c r="W77" s="2" t="s">
        <v>818</v>
      </c>
      <c r="X77" s="5">
        <v>10.0</v>
      </c>
      <c r="Y77" s="5">
        <v>250.0</v>
      </c>
      <c r="Z77" s="2" t="s">
        <v>42</v>
      </c>
    </row>
    <row r="78" ht="15.75" customHeight="1">
      <c r="A78" s="2" t="s">
        <v>819</v>
      </c>
      <c r="B78" s="2" t="s">
        <v>131</v>
      </c>
      <c r="C78" s="2" t="s">
        <v>820</v>
      </c>
      <c r="D78" s="2" t="s">
        <v>131</v>
      </c>
      <c r="E78" s="2" t="s">
        <v>84</v>
      </c>
      <c r="F78" s="2" t="s">
        <v>168</v>
      </c>
      <c r="G78" s="6" t="s">
        <v>821</v>
      </c>
      <c r="H78" s="4" t="str">
        <f>"https://" &amp; "picsum.photos/seed/cigar-77/800/600"</f>
        <v>https://picsum.photos/seed/cigar-77/800/600</v>
      </c>
      <c r="I78" s="4" t="str">
        <f>"https://" &amp; "picsum.photos/seed/cigar-77/200/200"</f>
        <v>https://picsum.photos/seed/cigar-77/200/200</v>
      </c>
      <c r="J78" s="2" t="s">
        <v>59</v>
      </c>
      <c r="K78" s="2" t="s">
        <v>412</v>
      </c>
      <c r="L78" s="2" t="s">
        <v>543</v>
      </c>
      <c r="M78" s="2" t="s">
        <v>88</v>
      </c>
      <c r="N78" s="2" t="s">
        <v>89</v>
      </c>
      <c r="O78" s="2" t="s">
        <v>90</v>
      </c>
      <c r="P78" s="2">
        <v>6.0</v>
      </c>
      <c r="Q78" s="2">
        <v>52.0</v>
      </c>
      <c r="R78" s="2">
        <v>65.0</v>
      </c>
      <c r="S78" s="2" t="s">
        <v>822</v>
      </c>
      <c r="T78" s="2" t="s">
        <v>823</v>
      </c>
      <c r="U78" s="2" t="s">
        <v>824</v>
      </c>
      <c r="V78" s="2" t="s">
        <v>825</v>
      </c>
      <c r="W78" s="2" t="s">
        <v>826</v>
      </c>
      <c r="X78" s="5">
        <v>10.5</v>
      </c>
      <c r="Y78" s="5">
        <v>262.5</v>
      </c>
      <c r="Z78" s="2" t="s">
        <v>42</v>
      </c>
    </row>
    <row r="79" ht="15.75" customHeight="1">
      <c r="A79" s="2" t="s">
        <v>827</v>
      </c>
      <c r="B79" s="2" t="s">
        <v>81</v>
      </c>
      <c r="C79" s="2" t="s">
        <v>828</v>
      </c>
      <c r="D79" s="2" t="s">
        <v>83</v>
      </c>
      <c r="E79" s="2" t="s">
        <v>84</v>
      </c>
      <c r="F79" s="2" t="s">
        <v>168</v>
      </c>
      <c r="G79" s="6" t="s">
        <v>829</v>
      </c>
      <c r="H79" s="4" t="str">
        <f>"https://" &amp; "picsum.photos/seed/cigar-78/800/600"</f>
        <v>https://picsum.photos/seed/cigar-78/800/600</v>
      </c>
      <c r="I79" s="4" t="str">
        <f>"https://" &amp; "picsum.photos/seed/cigar-78/200/200"</f>
        <v>https://picsum.photos/seed/cigar-78/200/200</v>
      </c>
      <c r="J79" s="2" t="s">
        <v>86</v>
      </c>
      <c r="K79" s="2" t="s">
        <v>830</v>
      </c>
      <c r="L79" s="2" t="s">
        <v>457</v>
      </c>
      <c r="M79" s="2" t="s">
        <v>325</v>
      </c>
      <c r="N79" s="2" t="s">
        <v>89</v>
      </c>
      <c r="O79" s="2" t="s">
        <v>505</v>
      </c>
      <c r="P79" s="2">
        <v>6.0</v>
      </c>
      <c r="Q79" s="2">
        <v>50.0</v>
      </c>
      <c r="R79" s="2">
        <v>65.0</v>
      </c>
      <c r="S79" s="2" t="s">
        <v>831</v>
      </c>
      <c r="T79" s="2" t="s">
        <v>832</v>
      </c>
      <c r="U79" s="2" t="s">
        <v>833</v>
      </c>
      <c r="V79" s="2" t="s">
        <v>834</v>
      </c>
      <c r="W79" s="2" t="s">
        <v>835</v>
      </c>
      <c r="X79" s="5">
        <v>10.0</v>
      </c>
      <c r="Y79" s="5">
        <v>240.0</v>
      </c>
      <c r="Z79" s="2" t="s">
        <v>42</v>
      </c>
    </row>
    <row r="80" ht="15.75" customHeight="1">
      <c r="A80" s="2" t="s">
        <v>836</v>
      </c>
      <c r="B80" s="2" t="s">
        <v>81</v>
      </c>
      <c r="C80" s="2" t="s">
        <v>837</v>
      </c>
      <c r="D80" s="2" t="s">
        <v>83</v>
      </c>
      <c r="E80" s="2" t="s">
        <v>84</v>
      </c>
      <c r="F80" s="2" t="s">
        <v>168</v>
      </c>
      <c r="G80" s="6" t="s">
        <v>838</v>
      </c>
      <c r="H80" s="4" t="str">
        <f>"https://" &amp; "picsum.photos/seed/cigar-79/800/600"</f>
        <v>https://picsum.photos/seed/cigar-79/800/600</v>
      </c>
      <c r="I80" s="4" t="str">
        <f>"https://" &amp; "picsum.photos/seed/cigar-79/200/200"</f>
        <v>https://picsum.photos/seed/cigar-79/200/200</v>
      </c>
      <c r="J80" s="2" t="s">
        <v>86</v>
      </c>
      <c r="K80" s="2" t="s">
        <v>134</v>
      </c>
      <c r="L80" s="2" t="s">
        <v>88</v>
      </c>
      <c r="M80" s="2" t="s">
        <v>88</v>
      </c>
      <c r="N80" s="2" t="s">
        <v>89</v>
      </c>
      <c r="O80" s="2" t="s">
        <v>147</v>
      </c>
      <c r="P80" s="2">
        <v>6.0</v>
      </c>
      <c r="Q80" s="2">
        <v>54.0</v>
      </c>
      <c r="R80" s="2">
        <v>70.0</v>
      </c>
      <c r="S80" s="2" t="s">
        <v>839</v>
      </c>
      <c r="T80" s="2" t="s">
        <v>840</v>
      </c>
      <c r="U80" s="2" t="s">
        <v>537</v>
      </c>
      <c r="V80" s="2" t="s">
        <v>841</v>
      </c>
      <c r="W80" s="2" t="s">
        <v>842</v>
      </c>
      <c r="X80" s="5">
        <v>9.5</v>
      </c>
      <c r="Y80" s="5">
        <v>190.0</v>
      </c>
      <c r="Z80" s="2" t="s">
        <v>42</v>
      </c>
    </row>
    <row r="81" ht="15.75" customHeight="1">
      <c r="A81" s="2" t="s">
        <v>843</v>
      </c>
      <c r="B81" s="2" t="s">
        <v>81</v>
      </c>
      <c r="C81" s="2" t="s">
        <v>844</v>
      </c>
      <c r="D81" s="2" t="s">
        <v>83</v>
      </c>
      <c r="E81" s="2" t="s">
        <v>84</v>
      </c>
      <c r="F81" s="2" t="s">
        <v>168</v>
      </c>
      <c r="G81" s="6" t="s">
        <v>845</v>
      </c>
      <c r="H81" s="4" t="str">
        <f>"https://" &amp; "picsum.photos/seed/cigar-80/800/600"</f>
        <v>https://picsum.photos/seed/cigar-80/800/600</v>
      </c>
      <c r="I81" s="4" t="str">
        <f>"https://" &amp; "picsum.photos/seed/cigar-80/200/200"</f>
        <v>https://picsum.photos/seed/cigar-80/200/200</v>
      </c>
      <c r="J81" s="2" t="s">
        <v>59</v>
      </c>
      <c r="K81" s="2" t="s">
        <v>397</v>
      </c>
      <c r="L81" s="2" t="s">
        <v>325</v>
      </c>
      <c r="M81" s="2" t="s">
        <v>846</v>
      </c>
      <c r="N81" s="2" t="s">
        <v>47</v>
      </c>
      <c r="O81" s="2" t="s">
        <v>847</v>
      </c>
      <c r="P81" s="2">
        <v>5.25</v>
      </c>
      <c r="Q81" s="2">
        <v>52.0</v>
      </c>
      <c r="R81" s="2">
        <v>50.0</v>
      </c>
      <c r="S81" s="2" t="s">
        <v>848</v>
      </c>
      <c r="T81" s="2" t="s">
        <v>849</v>
      </c>
      <c r="U81" s="2" t="s">
        <v>850</v>
      </c>
      <c r="V81" s="2" t="s">
        <v>851</v>
      </c>
      <c r="W81" s="2" t="s">
        <v>852</v>
      </c>
      <c r="X81" s="5">
        <v>9.5</v>
      </c>
      <c r="Y81" s="5">
        <v>190.0</v>
      </c>
      <c r="Z81" s="2" t="s">
        <v>42</v>
      </c>
    </row>
    <row r="82" ht="15.75" customHeight="1">
      <c r="A82" s="2" t="s">
        <v>853</v>
      </c>
      <c r="B82" s="2" t="s">
        <v>237</v>
      </c>
      <c r="C82" s="2" t="s">
        <v>854</v>
      </c>
      <c r="D82" s="2" t="s">
        <v>239</v>
      </c>
      <c r="E82" s="2" t="s">
        <v>30</v>
      </c>
      <c r="F82" s="2" t="s">
        <v>240</v>
      </c>
      <c r="G82" s="6" t="s">
        <v>855</v>
      </c>
      <c r="H82" s="4" t="str">
        <f>"https://" &amp; "picsum.photos/seed/cigar-81/800/600"</f>
        <v>https://picsum.photos/seed/cigar-81/800/600</v>
      </c>
      <c r="I82" s="4" t="str">
        <f>"https://" &amp; "picsum.photos/seed/cigar-81/200/200"</f>
        <v>https://picsum.photos/seed/cigar-81/200/200</v>
      </c>
      <c r="J82" s="2" t="s">
        <v>59</v>
      </c>
      <c r="K82" s="2" t="s">
        <v>88</v>
      </c>
      <c r="L82" s="2" t="s">
        <v>88</v>
      </c>
      <c r="M82" s="2" t="s">
        <v>856</v>
      </c>
      <c r="N82" s="2" t="s">
        <v>47</v>
      </c>
      <c r="O82" s="2" t="s">
        <v>367</v>
      </c>
      <c r="P82" s="2">
        <v>5.375</v>
      </c>
      <c r="Q82" s="2">
        <v>52.0</v>
      </c>
      <c r="R82" s="2">
        <v>50.0</v>
      </c>
      <c r="S82" s="2" t="s">
        <v>857</v>
      </c>
      <c r="T82" s="2" t="s">
        <v>858</v>
      </c>
      <c r="U82" s="2" t="s">
        <v>859</v>
      </c>
      <c r="V82" s="2" t="s">
        <v>860</v>
      </c>
      <c r="W82" s="2" t="s">
        <v>861</v>
      </c>
      <c r="X82" s="5">
        <v>13.0</v>
      </c>
      <c r="Y82" s="5">
        <v>130.0</v>
      </c>
      <c r="Z82" s="2" t="s">
        <v>42</v>
      </c>
    </row>
    <row r="83" ht="15.75" customHeight="1">
      <c r="A83" s="2" t="s">
        <v>862</v>
      </c>
      <c r="B83" s="2" t="s">
        <v>237</v>
      </c>
      <c r="C83" s="2" t="s">
        <v>863</v>
      </c>
      <c r="D83" s="2" t="s">
        <v>239</v>
      </c>
      <c r="E83" s="2" t="s">
        <v>30</v>
      </c>
      <c r="F83" s="2" t="s">
        <v>240</v>
      </c>
      <c r="G83" s="6" t="s">
        <v>864</v>
      </c>
      <c r="H83" s="4" t="str">
        <f>"https://" &amp; "picsum.photos/seed/cigar-82/800/600"</f>
        <v>https://picsum.photos/seed/cigar-82/800/600</v>
      </c>
      <c r="I83" s="4" t="str">
        <f>"https://" &amp; "picsum.photos/seed/cigar-82/200/200"</f>
        <v>https://picsum.photos/seed/cigar-82/200/200</v>
      </c>
      <c r="J83" s="2" t="s">
        <v>86</v>
      </c>
      <c r="K83" s="2" t="s">
        <v>305</v>
      </c>
      <c r="L83" s="2" t="s">
        <v>115</v>
      </c>
      <c r="M83" s="2" t="s">
        <v>88</v>
      </c>
      <c r="N83" s="2" t="s">
        <v>458</v>
      </c>
      <c r="O83" s="2" t="s">
        <v>865</v>
      </c>
      <c r="P83" s="2">
        <v>6.875</v>
      </c>
      <c r="Q83" s="2">
        <v>54.0</v>
      </c>
      <c r="R83" s="2">
        <v>80.0</v>
      </c>
      <c r="S83" s="2" t="s">
        <v>866</v>
      </c>
      <c r="T83" s="2" t="s">
        <v>867</v>
      </c>
      <c r="U83" s="2" t="s">
        <v>868</v>
      </c>
      <c r="V83" s="2" t="s">
        <v>869</v>
      </c>
      <c r="W83" s="2" t="s">
        <v>870</v>
      </c>
      <c r="X83" s="5">
        <v>12.5</v>
      </c>
      <c r="Y83" s="5">
        <v>125.0</v>
      </c>
      <c r="Z83" s="2" t="s">
        <v>42</v>
      </c>
    </row>
    <row r="84" ht="15.75" customHeight="1">
      <c r="A84" s="2" t="s">
        <v>871</v>
      </c>
      <c r="B84" s="2" t="s">
        <v>249</v>
      </c>
      <c r="C84" s="2" t="s">
        <v>872</v>
      </c>
      <c r="D84" s="2" t="s">
        <v>251</v>
      </c>
      <c r="E84" s="2" t="s">
        <v>84</v>
      </c>
      <c r="F84" s="2" t="s">
        <v>873</v>
      </c>
      <c r="G84" s="6" t="s">
        <v>874</v>
      </c>
      <c r="H84" s="4" t="str">
        <f>"https://" &amp; "picsum.photos/seed/cigar-83/800/600"</f>
        <v>https://picsum.photos/seed/cigar-83/800/600</v>
      </c>
      <c r="I84" s="4" t="str">
        <f>"https://" &amp; "picsum.photos/seed/cigar-83/200/200"</f>
        <v>https://picsum.photos/seed/cigar-83/200/200</v>
      </c>
      <c r="J84" s="2" t="s">
        <v>59</v>
      </c>
      <c r="K84" s="2" t="s">
        <v>875</v>
      </c>
      <c r="L84" s="2" t="s">
        <v>88</v>
      </c>
      <c r="M84" s="2" t="s">
        <v>876</v>
      </c>
      <c r="N84" s="2" t="s">
        <v>89</v>
      </c>
      <c r="O84" s="2" t="s">
        <v>147</v>
      </c>
      <c r="P84" s="2">
        <v>6.0</v>
      </c>
      <c r="Q84" s="2">
        <v>54.0</v>
      </c>
      <c r="R84" s="2">
        <v>65.0</v>
      </c>
      <c r="S84" s="2" t="s">
        <v>877</v>
      </c>
      <c r="T84" s="2" t="s">
        <v>878</v>
      </c>
      <c r="U84" s="2" t="s">
        <v>879</v>
      </c>
      <c r="V84" s="2" t="s">
        <v>880</v>
      </c>
      <c r="W84" s="2" t="s">
        <v>881</v>
      </c>
      <c r="X84" s="5">
        <v>16.5</v>
      </c>
      <c r="Y84" s="5">
        <v>165.0</v>
      </c>
      <c r="Z84" s="2" t="s">
        <v>42</v>
      </c>
    </row>
    <row r="85" ht="15.75" customHeight="1">
      <c r="A85" s="2" t="s">
        <v>882</v>
      </c>
      <c r="B85" s="2" t="s">
        <v>249</v>
      </c>
      <c r="C85" s="2" t="s">
        <v>883</v>
      </c>
      <c r="D85" s="2" t="s">
        <v>251</v>
      </c>
      <c r="E85" s="2" t="s">
        <v>84</v>
      </c>
      <c r="F85" s="2" t="s">
        <v>168</v>
      </c>
      <c r="G85" s="6" t="s">
        <v>884</v>
      </c>
      <c r="H85" s="4" t="str">
        <f>"https://" &amp; "picsum.photos/seed/cigar-84/800/600"</f>
        <v>https://picsum.photos/seed/cigar-84/800/600</v>
      </c>
      <c r="I85" s="4" t="str">
        <f>"https://" &amp; "picsum.photos/seed/cigar-84/200/200"</f>
        <v>https://picsum.photos/seed/cigar-84/200/200</v>
      </c>
      <c r="J85" s="2" t="s">
        <v>100</v>
      </c>
      <c r="K85" s="2" t="s">
        <v>885</v>
      </c>
      <c r="L85" s="2" t="s">
        <v>885</v>
      </c>
      <c r="M85" s="2" t="s">
        <v>885</v>
      </c>
      <c r="N85" s="2" t="s">
        <v>438</v>
      </c>
      <c r="O85" s="2" t="s">
        <v>886</v>
      </c>
      <c r="P85" s="2">
        <v>5.625</v>
      </c>
      <c r="Q85" s="2">
        <v>44.0</v>
      </c>
      <c r="R85" s="2">
        <v>45.0</v>
      </c>
      <c r="S85" s="2" t="s">
        <v>887</v>
      </c>
      <c r="T85" s="2" t="s">
        <v>888</v>
      </c>
      <c r="U85" s="2" t="s">
        <v>889</v>
      </c>
      <c r="V85" s="2" t="s">
        <v>890</v>
      </c>
      <c r="W85" s="2" t="s">
        <v>891</v>
      </c>
      <c r="X85" s="5">
        <v>9.0</v>
      </c>
      <c r="Y85" s="5">
        <v>90.0</v>
      </c>
      <c r="Z85" s="2" t="s">
        <v>42</v>
      </c>
    </row>
    <row r="86" ht="15.75" customHeight="1">
      <c r="A86" s="2" t="s">
        <v>892</v>
      </c>
      <c r="B86" s="2" t="s">
        <v>511</v>
      </c>
      <c r="C86" s="2" t="s">
        <v>893</v>
      </c>
      <c r="D86" s="2" t="s">
        <v>513</v>
      </c>
      <c r="E86" s="2" t="s">
        <v>113</v>
      </c>
      <c r="F86" s="2" t="s">
        <v>226</v>
      </c>
      <c r="G86" s="6" t="s">
        <v>894</v>
      </c>
      <c r="H86" s="4" t="str">
        <f>"https://" &amp; "picsum.photos/seed/cigar-85/800/600"</f>
        <v>https://picsum.photos/seed/cigar-85/800/600</v>
      </c>
      <c r="I86" s="4" t="str">
        <f>"https://" &amp; "picsum.photos/seed/cigar-85/200/200"</f>
        <v>https://picsum.photos/seed/cigar-85/200/200</v>
      </c>
      <c r="J86" s="2" t="s">
        <v>100</v>
      </c>
      <c r="K86" s="2" t="s">
        <v>101</v>
      </c>
      <c r="L86" s="2" t="s">
        <v>515</v>
      </c>
      <c r="M86" s="2" t="s">
        <v>895</v>
      </c>
      <c r="N86" s="2" t="s">
        <v>47</v>
      </c>
      <c r="O86" s="2" t="s">
        <v>48</v>
      </c>
      <c r="P86" s="2">
        <v>5.0</v>
      </c>
      <c r="Q86" s="2">
        <v>50.0</v>
      </c>
      <c r="R86" s="2">
        <v>50.0</v>
      </c>
      <c r="S86" s="2" t="s">
        <v>896</v>
      </c>
      <c r="T86" s="2" t="s">
        <v>897</v>
      </c>
      <c r="U86" s="2" t="s">
        <v>898</v>
      </c>
      <c r="V86" s="2" t="s">
        <v>899</v>
      </c>
      <c r="W86" s="2" t="s">
        <v>900</v>
      </c>
      <c r="X86" s="5">
        <v>8.5</v>
      </c>
      <c r="Y86" s="5">
        <v>170.0</v>
      </c>
      <c r="Z86" s="2" t="s">
        <v>42</v>
      </c>
    </row>
    <row r="87" ht="15.75" customHeight="1">
      <c r="A87" s="2" t="s">
        <v>901</v>
      </c>
      <c r="B87" s="2" t="s">
        <v>511</v>
      </c>
      <c r="C87" s="2" t="s">
        <v>594</v>
      </c>
      <c r="D87" s="2" t="s">
        <v>513</v>
      </c>
      <c r="E87" s="2" t="s">
        <v>113</v>
      </c>
      <c r="F87" s="2" t="s">
        <v>226</v>
      </c>
      <c r="G87" s="6" t="s">
        <v>902</v>
      </c>
      <c r="H87" s="4" t="str">
        <f>"https://" &amp; "picsum.photos/seed/cigar-86/800/600"</f>
        <v>https://picsum.photos/seed/cigar-86/800/600</v>
      </c>
      <c r="I87" s="4" t="str">
        <f>"https://" &amp; "picsum.photos/seed/cigar-86/200/200"</f>
        <v>https://picsum.photos/seed/cigar-86/200/200</v>
      </c>
      <c r="J87" s="2" t="s">
        <v>32</v>
      </c>
      <c r="K87" s="2" t="s">
        <v>903</v>
      </c>
      <c r="L87" s="2" t="s">
        <v>515</v>
      </c>
      <c r="M87" s="2" t="s">
        <v>895</v>
      </c>
      <c r="N87" s="2" t="s">
        <v>89</v>
      </c>
      <c r="O87" s="2" t="s">
        <v>505</v>
      </c>
      <c r="P87" s="2">
        <v>6.0</v>
      </c>
      <c r="Q87" s="2">
        <v>50.0</v>
      </c>
      <c r="R87" s="2">
        <v>60.0</v>
      </c>
      <c r="S87" s="2" t="s">
        <v>904</v>
      </c>
      <c r="T87" s="2" t="s">
        <v>905</v>
      </c>
      <c r="U87" s="2" t="s">
        <v>906</v>
      </c>
      <c r="V87" s="2" t="s">
        <v>907</v>
      </c>
      <c r="W87" s="2" t="s">
        <v>908</v>
      </c>
      <c r="X87" s="5">
        <v>9.0</v>
      </c>
      <c r="Y87" s="5">
        <v>180.0</v>
      </c>
      <c r="Z87" s="2" t="s">
        <v>42</v>
      </c>
    </row>
    <row r="88" ht="15.75" customHeight="1">
      <c r="A88" s="2" t="s">
        <v>909</v>
      </c>
      <c r="B88" s="2" t="s">
        <v>395</v>
      </c>
      <c r="C88" s="2" t="s">
        <v>910</v>
      </c>
      <c r="D88" s="2" t="s">
        <v>395</v>
      </c>
      <c r="E88" s="2" t="s">
        <v>84</v>
      </c>
      <c r="F88" s="2" t="s">
        <v>168</v>
      </c>
      <c r="G88" s="6" t="s">
        <v>911</v>
      </c>
      <c r="H88" s="4" t="str">
        <f>"https://" &amp; "picsum.photos/seed/cigar-87/800/600"</f>
        <v>https://picsum.photos/seed/cigar-87/800/600</v>
      </c>
      <c r="I88" s="4" t="str">
        <f>"https://" &amp; "picsum.photos/seed/cigar-87/200/200"</f>
        <v>https://picsum.photos/seed/cigar-87/200/200</v>
      </c>
      <c r="J88" s="2" t="s">
        <v>59</v>
      </c>
      <c r="K88" s="2" t="s">
        <v>412</v>
      </c>
      <c r="L88" s="2" t="s">
        <v>305</v>
      </c>
      <c r="M88" s="2" t="s">
        <v>88</v>
      </c>
      <c r="N88" s="2" t="s">
        <v>438</v>
      </c>
      <c r="O88" s="2" t="s">
        <v>813</v>
      </c>
      <c r="P88" s="2">
        <v>5.25</v>
      </c>
      <c r="Q88" s="2">
        <v>42.0</v>
      </c>
      <c r="R88" s="2">
        <v>45.0</v>
      </c>
      <c r="S88" s="2" t="s">
        <v>912</v>
      </c>
      <c r="T88" s="2" t="s">
        <v>913</v>
      </c>
      <c r="U88" s="2" t="s">
        <v>914</v>
      </c>
      <c r="V88" s="2" t="s">
        <v>915</v>
      </c>
      <c r="W88" s="2" t="s">
        <v>916</v>
      </c>
      <c r="X88" s="5">
        <v>8.0</v>
      </c>
      <c r="Y88" s="5">
        <v>160.0</v>
      </c>
      <c r="Z88" s="2" t="s">
        <v>42</v>
      </c>
    </row>
    <row r="89" ht="15.75" customHeight="1">
      <c r="A89" s="2" t="s">
        <v>917</v>
      </c>
      <c r="B89" s="2" t="s">
        <v>918</v>
      </c>
      <c r="C89" s="2" t="s">
        <v>919</v>
      </c>
      <c r="D89" s="2" t="s">
        <v>57</v>
      </c>
      <c r="E89" s="2" t="s">
        <v>113</v>
      </c>
      <c r="F89" s="2" t="s">
        <v>226</v>
      </c>
      <c r="G89" s="6" t="s">
        <v>920</v>
      </c>
      <c r="H89" s="4" t="str">
        <f>"https://" &amp; "picsum.photos/seed/cigar-88/800/600"</f>
        <v>https://picsum.photos/seed/cigar-88/800/600</v>
      </c>
      <c r="I89" s="4" t="str">
        <f>"https://" &amp; "picsum.photos/seed/cigar-88/200/200"</f>
        <v>https://picsum.photos/seed/cigar-88/200/200</v>
      </c>
      <c r="J89" s="2" t="s">
        <v>86</v>
      </c>
      <c r="K89" s="2" t="s">
        <v>115</v>
      </c>
      <c r="L89" s="2" t="s">
        <v>134</v>
      </c>
      <c r="M89" s="2" t="s">
        <v>136</v>
      </c>
      <c r="N89" s="2" t="s">
        <v>921</v>
      </c>
      <c r="O89" s="2" t="s">
        <v>922</v>
      </c>
      <c r="P89" s="2">
        <v>4.5</v>
      </c>
      <c r="Q89" s="2">
        <v>50.0</v>
      </c>
      <c r="R89" s="2">
        <v>40.0</v>
      </c>
      <c r="S89" s="2" t="s">
        <v>923</v>
      </c>
      <c r="T89" s="2" t="s">
        <v>924</v>
      </c>
      <c r="U89" s="2" t="s">
        <v>925</v>
      </c>
      <c r="V89" s="2" t="s">
        <v>926</v>
      </c>
      <c r="W89" s="2" t="s">
        <v>927</v>
      </c>
      <c r="X89" s="5">
        <v>6.5</v>
      </c>
      <c r="Y89" s="5">
        <v>162.5</v>
      </c>
      <c r="Z89" s="2" t="s">
        <v>42</v>
      </c>
    </row>
    <row r="90" ht="15.75" customHeight="1">
      <c r="A90" s="2" t="s">
        <v>928</v>
      </c>
      <c r="B90" s="2" t="s">
        <v>918</v>
      </c>
      <c r="C90" s="2" t="s">
        <v>929</v>
      </c>
      <c r="D90" s="2" t="s">
        <v>57</v>
      </c>
      <c r="E90" s="2" t="s">
        <v>113</v>
      </c>
      <c r="F90" s="2" t="s">
        <v>226</v>
      </c>
      <c r="G90" s="6" t="s">
        <v>930</v>
      </c>
      <c r="H90" s="4" t="str">
        <f>"https://" &amp; "picsum.photos/seed/cigar-89/800/600"</f>
        <v>https://picsum.photos/seed/cigar-89/800/600</v>
      </c>
      <c r="I90" s="4" t="str">
        <f>"https://" &amp; "picsum.photos/seed/cigar-89/200/200"</f>
        <v>https://picsum.photos/seed/cigar-89/200/200</v>
      </c>
      <c r="J90" s="2" t="s">
        <v>86</v>
      </c>
      <c r="K90" s="2" t="s">
        <v>931</v>
      </c>
      <c r="L90" s="2" t="s">
        <v>543</v>
      </c>
      <c r="M90" s="2" t="s">
        <v>543</v>
      </c>
      <c r="N90" s="2" t="s">
        <v>921</v>
      </c>
      <c r="O90" s="2" t="s">
        <v>932</v>
      </c>
      <c r="P90" s="2">
        <v>4.5</v>
      </c>
      <c r="Q90" s="2">
        <v>52.0</v>
      </c>
      <c r="R90" s="2">
        <v>40.0</v>
      </c>
      <c r="S90" s="2" t="s">
        <v>933</v>
      </c>
      <c r="T90" s="2" t="s">
        <v>934</v>
      </c>
      <c r="U90" s="2" t="s">
        <v>348</v>
      </c>
      <c r="V90" s="2" t="s">
        <v>935</v>
      </c>
      <c r="W90" s="2" t="s">
        <v>936</v>
      </c>
      <c r="X90" s="5">
        <v>7.0</v>
      </c>
      <c r="Y90" s="5">
        <v>175.0</v>
      </c>
      <c r="Z90" s="2" t="s">
        <v>42</v>
      </c>
    </row>
    <row r="91" ht="15.75" customHeight="1">
      <c r="A91" s="2" t="s">
        <v>937</v>
      </c>
      <c r="B91" s="2" t="s">
        <v>68</v>
      </c>
      <c r="C91" s="2" t="s">
        <v>938</v>
      </c>
      <c r="D91" s="2" t="s">
        <v>57</v>
      </c>
      <c r="E91" s="2" t="s">
        <v>30</v>
      </c>
      <c r="F91" s="2" t="s">
        <v>240</v>
      </c>
      <c r="G91" s="6" t="s">
        <v>939</v>
      </c>
      <c r="H91" s="4" t="str">
        <f>"https://" &amp; "picsum.photos/seed/cigar-90/800/600"</f>
        <v>https://picsum.photos/seed/cigar-90/800/600</v>
      </c>
      <c r="I91" s="4" t="str">
        <f>"https://" &amp; "picsum.photos/seed/cigar-90/200/200"</f>
        <v>https://picsum.photos/seed/cigar-90/200/200</v>
      </c>
      <c r="J91" s="2" t="s">
        <v>59</v>
      </c>
      <c r="K91" s="2" t="s">
        <v>940</v>
      </c>
      <c r="L91" s="2" t="s">
        <v>941</v>
      </c>
      <c r="M91" s="2" t="s">
        <v>942</v>
      </c>
      <c r="N91" s="2" t="s">
        <v>47</v>
      </c>
      <c r="O91" s="2" t="s">
        <v>48</v>
      </c>
      <c r="P91" s="2">
        <v>5.0</v>
      </c>
      <c r="Q91" s="2">
        <v>50.0</v>
      </c>
      <c r="R91" s="2">
        <v>45.0</v>
      </c>
      <c r="S91" s="2" t="s">
        <v>943</v>
      </c>
      <c r="T91" s="2" t="s">
        <v>944</v>
      </c>
      <c r="U91" s="2" t="s">
        <v>945</v>
      </c>
      <c r="V91" s="2" t="s">
        <v>946</v>
      </c>
      <c r="W91" s="2" t="s">
        <v>947</v>
      </c>
      <c r="X91" s="5">
        <v>8.0</v>
      </c>
      <c r="Y91" s="5">
        <v>160.0</v>
      </c>
      <c r="Z91" s="2" t="s">
        <v>42</v>
      </c>
    </row>
    <row r="92" ht="15.75" customHeight="1">
      <c r="A92" s="2" t="s">
        <v>948</v>
      </c>
      <c r="B92" s="2" t="s">
        <v>68</v>
      </c>
      <c r="C92" s="2" t="s">
        <v>949</v>
      </c>
      <c r="D92" s="2" t="s">
        <v>57</v>
      </c>
      <c r="E92" s="2" t="s">
        <v>30</v>
      </c>
      <c r="F92" s="2" t="s">
        <v>240</v>
      </c>
      <c r="G92" s="6" t="s">
        <v>950</v>
      </c>
      <c r="H92" s="4" t="str">
        <f>"https://" &amp; "picsum.photos/seed/cigar-91/800/600"</f>
        <v>https://picsum.photos/seed/cigar-91/800/600</v>
      </c>
      <c r="I92" s="4" t="str">
        <f>"https://" &amp; "picsum.photos/seed/cigar-91/200/200"</f>
        <v>https://picsum.photos/seed/cigar-91/200/200</v>
      </c>
      <c r="J92" s="2" t="s">
        <v>86</v>
      </c>
      <c r="K92" s="2" t="s">
        <v>134</v>
      </c>
      <c r="L92" s="2" t="s">
        <v>115</v>
      </c>
      <c r="M92" s="2" t="s">
        <v>951</v>
      </c>
      <c r="N92" s="2" t="s">
        <v>229</v>
      </c>
      <c r="O92" s="2" t="s">
        <v>230</v>
      </c>
      <c r="P92" s="2">
        <v>7.0</v>
      </c>
      <c r="Q92" s="2">
        <v>48.0</v>
      </c>
      <c r="R92" s="2">
        <v>80.0</v>
      </c>
      <c r="S92" s="2" t="s">
        <v>952</v>
      </c>
      <c r="T92" s="2" t="s">
        <v>953</v>
      </c>
      <c r="U92" s="2" t="s">
        <v>954</v>
      </c>
      <c r="V92" s="2" t="s">
        <v>955</v>
      </c>
      <c r="W92" s="2" t="s">
        <v>956</v>
      </c>
      <c r="X92" s="5">
        <v>9.0</v>
      </c>
      <c r="Y92" s="5">
        <v>180.0</v>
      </c>
      <c r="Z92" s="2" t="s">
        <v>42</v>
      </c>
    </row>
    <row r="93" ht="15.75" customHeight="1">
      <c r="A93" s="2" t="s">
        <v>957</v>
      </c>
      <c r="B93" s="2" t="s">
        <v>55</v>
      </c>
      <c r="C93" s="2" t="s">
        <v>958</v>
      </c>
      <c r="D93" s="2" t="s">
        <v>57</v>
      </c>
      <c r="E93" s="2" t="s">
        <v>30</v>
      </c>
      <c r="F93" s="2" t="s">
        <v>240</v>
      </c>
      <c r="G93" s="6" t="s">
        <v>959</v>
      </c>
      <c r="H93" s="4" t="str">
        <f>"https://" &amp; "picsum.photos/seed/cigar-92/800/600"</f>
        <v>https://picsum.photos/seed/cigar-92/800/600</v>
      </c>
      <c r="I93" s="4" t="str">
        <f>"https://" &amp; "picsum.photos/seed/cigar-92/200/200"</f>
        <v>https://picsum.photos/seed/cigar-92/200/200</v>
      </c>
      <c r="J93" s="2" t="s">
        <v>59</v>
      </c>
      <c r="K93" s="2" t="s">
        <v>134</v>
      </c>
      <c r="L93" s="2" t="s">
        <v>960</v>
      </c>
      <c r="M93" s="2" t="s">
        <v>73</v>
      </c>
      <c r="N93" s="2" t="s">
        <v>89</v>
      </c>
      <c r="O93" s="2" t="s">
        <v>147</v>
      </c>
      <c r="P93" s="2">
        <v>6.0</v>
      </c>
      <c r="Q93" s="2">
        <v>54.0</v>
      </c>
      <c r="R93" s="2">
        <v>70.0</v>
      </c>
      <c r="S93" s="2" t="s">
        <v>961</v>
      </c>
      <c r="T93" s="2" t="s">
        <v>962</v>
      </c>
      <c r="U93" s="2" t="s">
        <v>610</v>
      </c>
      <c r="V93" s="2" t="s">
        <v>963</v>
      </c>
      <c r="W93" s="2" t="s">
        <v>964</v>
      </c>
      <c r="X93" s="5">
        <v>22.0</v>
      </c>
      <c r="Y93" s="5">
        <v>550.0</v>
      </c>
      <c r="Z93" s="2" t="s">
        <v>42</v>
      </c>
    </row>
    <row r="94" ht="15.75" customHeight="1">
      <c r="A94" s="2" t="s">
        <v>965</v>
      </c>
      <c r="B94" s="2" t="s">
        <v>55</v>
      </c>
      <c r="C94" s="2" t="s">
        <v>966</v>
      </c>
      <c r="D94" s="2" t="s">
        <v>57</v>
      </c>
      <c r="E94" s="2" t="s">
        <v>30</v>
      </c>
      <c r="F94" s="2" t="s">
        <v>240</v>
      </c>
      <c r="G94" s="6" t="s">
        <v>967</v>
      </c>
      <c r="H94" s="4" t="str">
        <f>"https://" &amp; "picsum.photos/seed/cigar-93/800/600"</f>
        <v>https://picsum.photos/seed/cigar-93/800/600</v>
      </c>
      <c r="I94" s="4" t="str">
        <f>"https://" &amp; "picsum.photos/seed/cigar-93/200/200"</f>
        <v>https://picsum.photos/seed/cigar-93/200/200</v>
      </c>
      <c r="J94" s="2" t="s">
        <v>32</v>
      </c>
      <c r="K94" s="2" t="s">
        <v>940</v>
      </c>
      <c r="L94" s="2" t="s">
        <v>543</v>
      </c>
      <c r="M94" s="2" t="s">
        <v>942</v>
      </c>
      <c r="N94" s="2" t="s">
        <v>47</v>
      </c>
      <c r="O94" s="2" t="s">
        <v>171</v>
      </c>
      <c r="P94" s="2">
        <v>5.5</v>
      </c>
      <c r="Q94" s="2">
        <v>50.0</v>
      </c>
      <c r="R94" s="2">
        <v>50.0</v>
      </c>
      <c r="S94" s="2" t="s">
        <v>968</v>
      </c>
      <c r="T94" s="2" t="s">
        <v>969</v>
      </c>
      <c r="U94" s="2" t="s">
        <v>51</v>
      </c>
      <c r="V94" s="2" t="s">
        <v>970</v>
      </c>
      <c r="W94" s="2" t="s">
        <v>971</v>
      </c>
      <c r="X94" s="5">
        <v>11.0</v>
      </c>
      <c r="Y94" s="5">
        <v>220.0</v>
      </c>
      <c r="Z94" s="2" t="s">
        <v>42</v>
      </c>
    </row>
    <row r="95" ht="15.75" customHeight="1">
      <c r="A95" s="2" t="s">
        <v>972</v>
      </c>
      <c r="B95" s="2" t="s">
        <v>205</v>
      </c>
      <c r="C95" s="2" t="s">
        <v>973</v>
      </c>
      <c r="D95" s="2" t="s">
        <v>57</v>
      </c>
      <c r="E95" s="2" t="s">
        <v>30</v>
      </c>
      <c r="F95" s="2" t="s">
        <v>240</v>
      </c>
      <c r="G95" s="6" t="s">
        <v>974</v>
      </c>
      <c r="H95" s="4" t="str">
        <f>"https://" &amp; "picsum.photos/seed/cigar-94/800/600"</f>
        <v>https://picsum.photos/seed/cigar-94/800/600</v>
      </c>
      <c r="I95" s="4" t="str">
        <f>"https://" &amp; "picsum.photos/seed/cigar-94/200/200"</f>
        <v>https://picsum.photos/seed/cigar-94/200/200</v>
      </c>
      <c r="J95" s="2" t="s">
        <v>86</v>
      </c>
      <c r="K95" s="2" t="s">
        <v>975</v>
      </c>
      <c r="L95" s="2" t="s">
        <v>976</v>
      </c>
      <c r="M95" s="2" t="s">
        <v>306</v>
      </c>
      <c r="N95" s="2" t="s">
        <v>921</v>
      </c>
      <c r="O95" s="2" t="s">
        <v>977</v>
      </c>
      <c r="P95" s="2">
        <v>4.5</v>
      </c>
      <c r="Q95" s="2">
        <v>54.0</v>
      </c>
      <c r="R95" s="2">
        <v>45.0</v>
      </c>
      <c r="S95" s="2" t="s">
        <v>978</v>
      </c>
      <c r="T95" s="2" t="s">
        <v>979</v>
      </c>
      <c r="U95" s="2" t="s">
        <v>717</v>
      </c>
      <c r="V95" s="2" t="s">
        <v>980</v>
      </c>
      <c r="W95" s="2" t="s">
        <v>981</v>
      </c>
      <c r="X95" s="5">
        <v>9.5</v>
      </c>
      <c r="Y95" s="5">
        <v>190.0</v>
      </c>
      <c r="Z95" s="2" t="s">
        <v>42</v>
      </c>
    </row>
    <row r="96" ht="15.75" customHeight="1">
      <c r="A96" s="2" t="s">
        <v>982</v>
      </c>
      <c r="B96" s="2" t="s">
        <v>205</v>
      </c>
      <c r="C96" s="2" t="s">
        <v>983</v>
      </c>
      <c r="D96" s="2" t="s">
        <v>57</v>
      </c>
      <c r="E96" s="2" t="s">
        <v>84</v>
      </c>
      <c r="F96" s="2" t="s">
        <v>168</v>
      </c>
      <c r="G96" s="6" t="s">
        <v>984</v>
      </c>
      <c r="H96" s="4" t="str">
        <f>"https://" &amp; "picsum.photos/seed/cigar-95/800/600"</f>
        <v>https://picsum.photos/seed/cigar-95/800/600</v>
      </c>
      <c r="I96" s="4" t="str">
        <f>"https://" &amp; "picsum.photos/seed/cigar-95/200/200"</f>
        <v>https://picsum.photos/seed/cigar-95/200/200</v>
      </c>
      <c r="J96" s="2" t="s">
        <v>100</v>
      </c>
      <c r="K96" s="2" t="s">
        <v>101</v>
      </c>
      <c r="L96" s="2" t="s">
        <v>46</v>
      </c>
      <c r="M96" s="2" t="s">
        <v>985</v>
      </c>
      <c r="N96" s="2" t="s">
        <v>89</v>
      </c>
      <c r="O96" s="2" t="s">
        <v>90</v>
      </c>
      <c r="P96" s="2">
        <v>6.0</v>
      </c>
      <c r="Q96" s="2">
        <v>52.0</v>
      </c>
      <c r="R96" s="2">
        <v>65.0</v>
      </c>
      <c r="S96" s="2" t="s">
        <v>699</v>
      </c>
      <c r="T96" s="2" t="s">
        <v>986</v>
      </c>
      <c r="U96" s="2" t="s">
        <v>987</v>
      </c>
      <c r="V96" s="2" t="s">
        <v>988</v>
      </c>
      <c r="W96" s="2" t="s">
        <v>989</v>
      </c>
      <c r="X96" s="5">
        <v>8.5</v>
      </c>
      <c r="Y96" s="5">
        <v>170.0</v>
      </c>
      <c r="Z96" s="2" t="s">
        <v>42</v>
      </c>
    </row>
    <row r="97" ht="15.75" customHeight="1">
      <c r="A97" s="2" t="s">
        <v>990</v>
      </c>
      <c r="B97" s="2" t="s">
        <v>111</v>
      </c>
      <c r="C97" s="2" t="s">
        <v>991</v>
      </c>
      <c r="D97" s="2" t="s">
        <v>111</v>
      </c>
      <c r="E97" s="2" t="s">
        <v>84</v>
      </c>
      <c r="F97" s="2" t="s">
        <v>168</v>
      </c>
      <c r="G97" s="6" t="s">
        <v>992</v>
      </c>
      <c r="H97" s="4" t="str">
        <f>"https://" &amp; "picsum.photos/seed/cigar-96/800/600"</f>
        <v>https://picsum.photos/seed/cigar-96/800/600</v>
      </c>
      <c r="I97" s="4" t="str">
        <f>"https://" &amp; "picsum.photos/seed/cigar-96/200/200"</f>
        <v>https://picsum.photos/seed/cigar-96/200/200</v>
      </c>
      <c r="J97" s="2" t="s">
        <v>86</v>
      </c>
      <c r="K97" s="2" t="s">
        <v>134</v>
      </c>
      <c r="L97" s="2" t="s">
        <v>88</v>
      </c>
      <c r="M97" s="2" t="s">
        <v>88</v>
      </c>
      <c r="N97" s="2" t="s">
        <v>89</v>
      </c>
      <c r="O97" s="2" t="s">
        <v>185</v>
      </c>
      <c r="P97" s="2">
        <v>6.5</v>
      </c>
      <c r="Q97" s="2">
        <v>52.0</v>
      </c>
      <c r="R97" s="2">
        <v>70.0</v>
      </c>
      <c r="S97" s="2" t="s">
        <v>993</v>
      </c>
      <c r="T97" s="2" t="s">
        <v>994</v>
      </c>
      <c r="U97" s="2" t="s">
        <v>330</v>
      </c>
      <c r="V97" s="2" t="s">
        <v>995</v>
      </c>
      <c r="W97" s="2" t="s">
        <v>996</v>
      </c>
      <c r="X97" s="5">
        <v>11.5</v>
      </c>
      <c r="Y97" s="5">
        <v>230.0</v>
      </c>
      <c r="Z97" s="2" t="s">
        <v>42</v>
      </c>
    </row>
    <row r="98" ht="15.75" customHeight="1">
      <c r="A98" s="2" t="s">
        <v>997</v>
      </c>
      <c r="B98" s="2" t="s">
        <v>111</v>
      </c>
      <c r="C98" s="2" t="s">
        <v>998</v>
      </c>
      <c r="D98" s="2" t="s">
        <v>111</v>
      </c>
      <c r="E98" s="2" t="s">
        <v>84</v>
      </c>
      <c r="F98" s="2" t="s">
        <v>168</v>
      </c>
      <c r="G98" s="6" t="s">
        <v>999</v>
      </c>
      <c r="H98" s="4" t="str">
        <f>"https://" &amp; "picsum.photos/seed/cigar-97/800/600"</f>
        <v>https://picsum.photos/seed/cigar-97/800/600</v>
      </c>
      <c r="I98" s="4" t="str">
        <f>"https://" &amp; "picsum.photos/seed/cigar-97/200/200"</f>
        <v>https://picsum.photos/seed/cigar-97/200/200</v>
      </c>
      <c r="J98" s="2" t="s">
        <v>86</v>
      </c>
      <c r="K98" s="2" t="s">
        <v>305</v>
      </c>
      <c r="L98" s="2" t="s">
        <v>88</v>
      </c>
      <c r="M98" s="2" t="s">
        <v>88</v>
      </c>
      <c r="N98" s="2" t="s">
        <v>47</v>
      </c>
      <c r="O98" s="2" t="s">
        <v>48</v>
      </c>
      <c r="P98" s="2">
        <v>5.0</v>
      </c>
      <c r="Q98" s="2">
        <v>50.0</v>
      </c>
      <c r="R98" s="2">
        <v>50.0</v>
      </c>
      <c r="S98" s="2" t="s">
        <v>1000</v>
      </c>
      <c r="T98" s="2" t="s">
        <v>1001</v>
      </c>
      <c r="U98" s="2" t="s">
        <v>1002</v>
      </c>
      <c r="V98" s="2" t="s">
        <v>1003</v>
      </c>
      <c r="W98" s="2" t="s">
        <v>1004</v>
      </c>
      <c r="X98" s="5">
        <v>11.0</v>
      </c>
      <c r="Y98" s="5">
        <v>220.0</v>
      </c>
      <c r="Z98" s="2" t="s">
        <v>42</v>
      </c>
    </row>
    <row r="99" ht="15.75" customHeight="1">
      <c r="A99" s="2" t="s">
        <v>1005</v>
      </c>
      <c r="B99" s="2" t="s">
        <v>223</v>
      </c>
      <c r="C99" s="2" t="s">
        <v>1006</v>
      </c>
      <c r="D99" s="2" t="s">
        <v>225</v>
      </c>
      <c r="E99" s="2" t="s">
        <v>113</v>
      </c>
      <c r="F99" s="2" t="s">
        <v>226</v>
      </c>
      <c r="G99" s="6" t="s">
        <v>1007</v>
      </c>
      <c r="H99" s="4" t="str">
        <f>"https://" &amp; "picsum.photos/seed/cigar-98/800/600"</f>
        <v>https://picsum.photos/seed/cigar-98/800/600</v>
      </c>
      <c r="I99" s="4" t="str">
        <f>"https://" &amp; "picsum.photos/seed/cigar-98/200/200"</f>
        <v>https://picsum.photos/seed/cigar-98/200/200</v>
      </c>
      <c r="J99" s="2" t="s">
        <v>59</v>
      </c>
      <c r="K99" s="2" t="s">
        <v>768</v>
      </c>
      <c r="L99" s="2" t="s">
        <v>1008</v>
      </c>
      <c r="M99" s="2" t="s">
        <v>1009</v>
      </c>
      <c r="N99" s="2" t="s">
        <v>89</v>
      </c>
      <c r="O99" s="2" t="s">
        <v>505</v>
      </c>
      <c r="P99" s="2">
        <v>6.0</v>
      </c>
      <c r="Q99" s="2">
        <v>50.0</v>
      </c>
      <c r="R99" s="2">
        <v>65.0</v>
      </c>
      <c r="S99" s="2" t="s">
        <v>1010</v>
      </c>
      <c r="T99" s="2" t="s">
        <v>1011</v>
      </c>
      <c r="U99" s="2" t="s">
        <v>1012</v>
      </c>
      <c r="V99" s="2" t="s">
        <v>1013</v>
      </c>
      <c r="W99" s="2" t="s">
        <v>1014</v>
      </c>
      <c r="X99" s="5">
        <v>9.5</v>
      </c>
      <c r="Y99" s="5">
        <v>209.0</v>
      </c>
      <c r="Z99" s="2" t="s">
        <v>42</v>
      </c>
    </row>
    <row r="100" ht="15.75" customHeight="1">
      <c r="A100" s="2" t="s">
        <v>1015</v>
      </c>
      <c r="B100" s="2" t="s">
        <v>223</v>
      </c>
      <c r="C100" s="2" t="s">
        <v>1016</v>
      </c>
      <c r="D100" s="2" t="s">
        <v>239</v>
      </c>
      <c r="E100" s="2" t="s">
        <v>30</v>
      </c>
      <c r="F100" s="2" t="s">
        <v>240</v>
      </c>
      <c r="G100" s="6" t="s">
        <v>1017</v>
      </c>
      <c r="H100" s="4" t="str">
        <f>"https://" &amp; "picsum.photos/seed/cigar-99/800/600"</f>
        <v>https://picsum.photos/seed/cigar-99/800/600</v>
      </c>
      <c r="I100" s="4" t="str">
        <f>"https://" &amp; "picsum.photos/seed/cigar-99/200/200"</f>
        <v>https://picsum.photos/seed/cigar-99/200/200</v>
      </c>
      <c r="J100" s="2" t="s">
        <v>59</v>
      </c>
      <c r="K100" s="2" t="s">
        <v>412</v>
      </c>
      <c r="L100" s="2" t="s">
        <v>88</v>
      </c>
      <c r="M100" s="2" t="s">
        <v>306</v>
      </c>
      <c r="N100" s="2" t="s">
        <v>158</v>
      </c>
      <c r="O100" s="2" t="s">
        <v>636</v>
      </c>
      <c r="P100" s="2">
        <v>5.125</v>
      </c>
      <c r="Q100" s="2">
        <v>42.0</v>
      </c>
      <c r="R100" s="2">
        <v>45.0</v>
      </c>
      <c r="S100" s="2" t="s">
        <v>1018</v>
      </c>
      <c r="T100" s="2" t="s">
        <v>1019</v>
      </c>
      <c r="U100" s="2" t="s">
        <v>1020</v>
      </c>
      <c r="V100" s="2" t="s">
        <v>1021</v>
      </c>
      <c r="W100" s="2" t="s">
        <v>1022</v>
      </c>
      <c r="X100" s="5">
        <v>9.0</v>
      </c>
      <c r="Y100" s="5">
        <v>180.0</v>
      </c>
      <c r="Z100" s="2" t="s">
        <v>42</v>
      </c>
    </row>
    <row r="101" ht="15.75" customHeight="1">
      <c r="A101" s="2" t="s">
        <v>1023</v>
      </c>
      <c r="B101" s="2" t="s">
        <v>123</v>
      </c>
      <c r="C101" s="2" t="s">
        <v>1024</v>
      </c>
      <c r="D101" s="2" t="s">
        <v>123</v>
      </c>
      <c r="E101" s="2" t="s">
        <v>30</v>
      </c>
      <c r="F101" s="2" t="s">
        <v>240</v>
      </c>
      <c r="G101" s="6" t="s">
        <v>1025</v>
      </c>
      <c r="H101" s="4" t="str">
        <f>"https://" &amp; "picsum.photos/seed/cigar-100/800/600"</f>
        <v>https://picsum.photos/seed/cigar-100/800/600</v>
      </c>
      <c r="I101" s="4" t="str">
        <f>"https://" &amp; "picsum.photos/seed/cigar-100/200/200"</f>
        <v>https://picsum.photos/seed/cigar-100/200/200</v>
      </c>
      <c r="J101" s="2" t="s">
        <v>100</v>
      </c>
      <c r="K101" s="2" t="s">
        <v>60</v>
      </c>
      <c r="L101" s="2" t="s">
        <v>34</v>
      </c>
      <c r="M101" s="2" t="s">
        <v>34</v>
      </c>
      <c r="N101" s="2" t="s">
        <v>400</v>
      </c>
      <c r="O101" s="2" t="s">
        <v>1026</v>
      </c>
      <c r="P101" s="2">
        <v>6.0</v>
      </c>
      <c r="Q101" s="2">
        <v>47.0</v>
      </c>
      <c r="R101" s="2">
        <v>55.0</v>
      </c>
      <c r="S101" s="2" t="s">
        <v>1027</v>
      </c>
      <c r="T101" s="2" t="s">
        <v>1028</v>
      </c>
      <c r="U101" s="2" t="s">
        <v>1029</v>
      </c>
      <c r="V101" s="2" t="s">
        <v>1030</v>
      </c>
      <c r="W101" s="2" t="s">
        <v>1031</v>
      </c>
      <c r="X101" s="5">
        <v>7.5</v>
      </c>
      <c r="Y101" s="5">
        <v>187.5</v>
      </c>
      <c r="Z101" s="2" t="s">
        <v>42</v>
      </c>
    </row>
    <row r="102" ht="15.75" customHeight="1">
      <c r="G102" s="7"/>
      <c r="J102" s="8"/>
      <c r="Z102" s="8"/>
    </row>
    <row r="103" ht="15.75" customHeight="1">
      <c r="G103" s="7"/>
      <c r="J103" s="8"/>
      <c r="Z103" s="8"/>
    </row>
    <row r="104" ht="15.75" customHeight="1">
      <c r="G104" s="7"/>
      <c r="J104" s="8"/>
      <c r="Z104" s="8"/>
    </row>
    <row r="105" ht="15.75" customHeight="1">
      <c r="G105" s="7"/>
      <c r="J105" s="8"/>
      <c r="Z105" s="8"/>
    </row>
    <row r="106" ht="15.75" customHeight="1">
      <c r="G106" s="7"/>
      <c r="J106" s="8"/>
      <c r="Z106" s="8"/>
    </row>
    <row r="107" ht="15.75" customHeight="1">
      <c r="G107" s="7"/>
      <c r="J107" s="8"/>
      <c r="Z107" s="8"/>
    </row>
    <row r="108" ht="15.75" customHeight="1">
      <c r="G108" s="7"/>
      <c r="J108" s="8"/>
      <c r="Z108" s="8"/>
    </row>
    <row r="109" ht="15.75" customHeight="1">
      <c r="G109" s="7"/>
      <c r="J109" s="8"/>
      <c r="Z109" s="8"/>
    </row>
    <row r="110" ht="15.75" customHeight="1">
      <c r="G110" s="7"/>
      <c r="J110" s="8"/>
      <c r="Z110" s="8"/>
    </row>
    <row r="111" ht="15.75" customHeight="1">
      <c r="G111" s="7"/>
      <c r="J111" s="8"/>
      <c r="Z111" s="8"/>
    </row>
    <row r="112" ht="15.75" customHeight="1">
      <c r="G112" s="7"/>
      <c r="J112" s="8"/>
      <c r="Z112" s="8"/>
    </row>
    <row r="113" ht="15.75" customHeight="1">
      <c r="G113" s="7"/>
      <c r="J113" s="8"/>
      <c r="Z113" s="8"/>
    </row>
    <row r="114" ht="15.75" customHeight="1">
      <c r="G114" s="7"/>
      <c r="J114" s="8"/>
      <c r="Z114" s="8"/>
    </row>
    <row r="115" ht="15.75" customHeight="1">
      <c r="G115" s="7"/>
      <c r="J115" s="8"/>
      <c r="Z115" s="8"/>
    </row>
    <row r="116" ht="15.75" customHeight="1">
      <c r="G116" s="7"/>
      <c r="J116" s="8"/>
      <c r="Z116" s="8"/>
    </row>
    <row r="117" ht="15.75" customHeight="1">
      <c r="G117" s="7"/>
      <c r="J117" s="8"/>
      <c r="Z117" s="8"/>
    </row>
    <row r="118" ht="15.75" customHeight="1">
      <c r="G118" s="7"/>
      <c r="J118" s="8"/>
      <c r="Z118" s="8"/>
    </row>
    <row r="119" ht="15.75" customHeight="1">
      <c r="G119" s="7"/>
      <c r="J119" s="8"/>
      <c r="Z119" s="8"/>
    </row>
    <row r="120" ht="15.75" customHeight="1">
      <c r="G120" s="7"/>
      <c r="J120" s="8"/>
      <c r="Z120" s="8"/>
    </row>
    <row r="121" ht="15.75" customHeight="1">
      <c r="G121" s="7"/>
      <c r="J121" s="8"/>
      <c r="Z121" s="8"/>
    </row>
    <row r="122" ht="15.75" customHeight="1">
      <c r="G122" s="7"/>
      <c r="J122" s="8"/>
      <c r="Z122" s="8"/>
    </row>
    <row r="123" ht="15.75" customHeight="1">
      <c r="G123" s="7"/>
      <c r="J123" s="8"/>
      <c r="Z123" s="8"/>
    </row>
    <row r="124" ht="15.75" customHeight="1">
      <c r="G124" s="7"/>
      <c r="J124" s="8"/>
      <c r="Z124" s="8"/>
    </row>
    <row r="125" ht="15.75" customHeight="1">
      <c r="G125" s="7"/>
      <c r="J125" s="8"/>
      <c r="Z125" s="8"/>
    </row>
    <row r="126" ht="15.75" customHeight="1">
      <c r="G126" s="7"/>
      <c r="J126" s="8"/>
      <c r="Z126" s="8"/>
    </row>
    <row r="127" ht="15.75" customHeight="1">
      <c r="G127" s="7"/>
      <c r="J127" s="8"/>
      <c r="Z127" s="8"/>
    </row>
    <row r="128" ht="15.75" customHeight="1">
      <c r="G128" s="7"/>
      <c r="J128" s="8"/>
      <c r="Z128" s="8"/>
    </row>
    <row r="129" ht="15.75" customHeight="1">
      <c r="G129" s="7"/>
      <c r="J129" s="8"/>
      <c r="Z129" s="8"/>
    </row>
    <row r="130" ht="15.75" customHeight="1">
      <c r="G130" s="7"/>
      <c r="J130" s="8"/>
      <c r="Z130" s="8"/>
    </row>
    <row r="131" ht="15.75" customHeight="1">
      <c r="G131" s="7"/>
      <c r="J131" s="8"/>
      <c r="Z131" s="8"/>
    </row>
    <row r="132" ht="15.75" customHeight="1">
      <c r="G132" s="7"/>
      <c r="J132" s="8"/>
      <c r="Z132" s="8"/>
    </row>
    <row r="133" ht="15.75" customHeight="1">
      <c r="G133" s="7"/>
      <c r="J133" s="8"/>
      <c r="Z133" s="8"/>
    </row>
    <row r="134" ht="15.75" customHeight="1">
      <c r="G134" s="7"/>
      <c r="J134" s="8"/>
      <c r="Z134" s="8"/>
    </row>
    <row r="135" ht="15.75" customHeight="1">
      <c r="G135" s="7"/>
      <c r="J135" s="8"/>
      <c r="Z135" s="8"/>
    </row>
    <row r="136" ht="15.75" customHeight="1">
      <c r="G136" s="7"/>
      <c r="J136" s="8"/>
      <c r="Z136" s="8"/>
    </row>
    <row r="137" ht="15.75" customHeight="1">
      <c r="G137" s="7"/>
      <c r="J137" s="8"/>
      <c r="Z137" s="8"/>
    </row>
    <row r="138" ht="15.75" customHeight="1">
      <c r="G138" s="7"/>
      <c r="J138" s="8"/>
      <c r="Z138" s="8"/>
    </row>
    <row r="139" ht="15.75" customHeight="1">
      <c r="G139" s="7"/>
      <c r="J139" s="8"/>
      <c r="Z139" s="8"/>
    </row>
    <row r="140" ht="15.75" customHeight="1">
      <c r="G140" s="7"/>
      <c r="J140" s="8"/>
      <c r="Z140" s="8"/>
    </row>
    <row r="141" ht="15.75" customHeight="1">
      <c r="G141" s="7"/>
      <c r="J141" s="8"/>
      <c r="Z141" s="8"/>
    </row>
    <row r="142" ht="15.75" customHeight="1">
      <c r="G142" s="7"/>
      <c r="J142" s="8"/>
      <c r="Z142" s="8"/>
    </row>
    <row r="143" ht="15.75" customHeight="1">
      <c r="G143" s="7"/>
      <c r="J143" s="8"/>
      <c r="Z143" s="8"/>
    </row>
    <row r="144" ht="15.75" customHeight="1">
      <c r="G144" s="7"/>
      <c r="J144" s="8"/>
      <c r="Z144" s="8"/>
    </row>
    <row r="145" ht="15.75" customHeight="1">
      <c r="G145" s="7"/>
      <c r="J145" s="8"/>
      <c r="Z145" s="8"/>
    </row>
    <row r="146" ht="15.75" customHeight="1">
      <c r="G146" s="7"/>
      <c r="J146" s="8"/>
      <c r="Z146" s="8"/>
    </row>
    <row r="147" ht="15.75" customHeight="1">
      <c r="G147" s="7"/>
      <c r="J147" s="8"/>
      <c r="Z147" s="8"/>
    </row>
    <row r="148" ht="15.75" customHeight="1">
      <c r="G148" s="7"/>
      <c r="J148" s="8"/>
      <c r="Z148" s="8"/>
    </row>
    <row r="149" ht="15.75" customHeight="1">
      <c r="G149" s="7"/>
      <c r="J149" s="8"/>
      <c r="Z149" s="8"/>
    </row>
    <row r="150" ht="15.75" customHeight="1">
      <c r="G150" s="7"/>
      <c r="J150" s="8"/>
      <c r="Z150" s="8"/>
    </row>
    <row r="151" ht="15.75" customHeight="1">
      <c r="G151" s="7"/>
      <c r="J151" s="8"/>
      <c r="Z151" s="8"/>
    </row>
    <row r="152" ht="15.75" customHeight="1">
      <c r="G152" s="7"/>
      <c r="J152" s="8"/>
      <c r="Z152" s="8"/>
    </row>
    <row r="153" ht="15.75" customHeight="1">
      <c r="G153" s="7"/>
      <c r="J153" s="8"/>
      <c r="Z153" s="8"/>
    </row>
    <row r="154" ht="15.75" customHeight="1">
      <c r="G154" s="7"/>
      <c r="J154" s="8"/>
      <c r="Z154" s="8"/>
    </row>
    <row r="155" ht="15.75" customHeight="1">
      <c r="G155" s="7"/>
      <c r="J155" s="8"/>
      <c r="Z155" s="8"/>
    </row>
    <row r="156" ht="15.75" customHeight="1">
      <c r="G156" s="7"/>
      <c r="J156" s="8"/>
      <c r="Z156" s="8"/>
    </row>
    <row r="157" ht="15.75" customHeight="1">
      <c r="G157" s="7"/>
      <c r="J157" s="8"/>
      <c r="Z157" s="8"/>
    </row>
    <row r="158" ht="15.75" customHeight="1">
      <c r="G158" s="7"/>
      <c r="J158" s="8"/>
      <c r="Z158" s="8"/>
    </row>
    <row r="159" ht="15.75" customHeight="1">
      <c r="G159" s="7"/>
      <c r="J159" s="8"/>
      <c r="Z159" s="8"/>
    </row>
    <row r="160" ht="15.75" customHeight="1">
      <c r="G160" s="7"/>
      <c r="J160" s="8"/>
      <c r="Z160" s="8"/>
    </row>
    <row r="161" ht="15.75" customHeight="1">
      <c r="G161" s="7"/>
      <c r="J161" s="8"/>
      <c r="Z161" s="8"/>
    </row>
    <row r="162" ht="15.75" customHeight="1">
      <c r="G162" s="7"/>
      <c r="J162" s="8"/>
      <c r="Z162" s="8"/>
    </row>
    <row r="163" ht="15.75" customHeight="1">
      <c r="G163" s="7"/>
      <c r="J163" s="8"/>
      <c r="Z163" s="8"/>
    </row>
    <row r="164" ht="15.75" customHeight="1">
      <c r="G164" s="7"/>
      <c r="J164" s="8"/>
      <c r="Z164" s="8"/>
    </row>
    <row r="165" ht="15.75" customHeight="1">
      <c r="G165" s="7"/>
      <c r="J165" s="8"/>
      <c r="Z165" s="8"/>
    </row>
    <row r="166" ht="15.75" customHeight="1">
      <c r="G166" s="7"/>
      <c r="J166" s="8"/>
      <c r="Z166" s="8"/>
    </row>
    <row r="167" ht="15.75" customHeight="1">
      <c r="G167" s="7"/>
      <c r="J167" s="8"/>
      <c r="Z167" s="8"/>
    </row>
    <row r="168" ht="15.75" customHeight="1">
      <c r="G168" s="7"/>
      <c r="J168" s="8"/>
      <c r="Z168" s="8"/>
    </row>
    <row r="169" ht="15.75" customHeight="1">
      <c r="G169" s="7"/>
      <c r="J169" s="8"/>
      <c r="Z169" s="8"/>
    </row>
    <row r="170" ht="15.75" customHeight="1">
      <c r="G170" s="7"/>
      <c r="J170" s="8"/>
      <c r="Z170" s="8"/>
    </row>
    <row r="171" ht="15.75" customHeight="1">
      <c r="G171" s="7"/>
      <c r="J171" s="8"/>
      <c r="Z171" s="8"/>
    </row>
    <row r="172" ht="15.75" customHeight="1">
      <c r="G172" s="7"/>
      <c r="J172" s="8"/>
      <c r="Z172" s="8"/>
    </row>
    <row r="173" ht="15.75" customHeight="1">
      <c r="G173" s="7"/>
      <c r="J173" s="8"/>
      <c r="Z173" s="8"/>
    </row>
    <row r="174" ht="15.75" customHeight="1">
      <c r="G174" s="7"/>
      <c r="J174" s="8"/>
      <c r="Z174" s="8"/>
    </row>
    <row r="175" ht="15.75" customHeight="1">
      <c r="G175" s="7"/>
      <c r="J175" s="8"/>
      <c r="Z175" s="8"/>
    </row>
    <row r="176" ht="15.75" customHeight="1">
      <c r="G176" s="7"/>
      <c r="J176" s="8"/>
      <c r="Z176" s="8"/>
    </row>
    <row r="177" ht="15.75" customHeight="1">
      <c r="G177" s="7"/>
      <c r="J177" s="8"/>
      <c r="Z177" s="8"/>
    </row>
    <row r="178" ht="15.75" customHeight="1">
      <c r="G178" s="7"/>
      <c r="J178" s="8"/>
      <c r="Z178" s="8"/>
    </row>
    <row r="179" ht="15.75" customHeight="1">
      <c r="G179" s="7"/>
      <c r="J179" s="8"/>
      <c r="Z179" s="8"/>
    </row>
    <row r="180" ht="15.75" customHeight="1">
      <c r="G180" s="7"/>
      <c r="J180" s="8"/>
      <c r="Z180" s="8"/>
    </row>
    <row r="181" ht="15.75" customHeight="1">
      <c r="G181" s="7"/>
      <c r="J181" s="8"/>
      <c r="Z181" s="8"/>
    </row>
    <row r="182" ht="15.75" customHeight="1">
      <c r="G182" s="7"/>
      <c r="J182" s="8"/>
      <c r="Z182" s="8"/>
    </row>
    <row r="183" ht="15.75" customHeight="1">
      <c r="G183" s="7"/>
      <c r="J183" s="8"/>
      <c r="Z183" s="8"/>
    </row>
    <row r="184" ht="15.75" customHeight="1">
      <c r="G184" s="7"/>
      <c r="J184" s="8"/>
      <c r="Z184" s="8"/>
    </row>
    <row r="185" ht="15.75" customHeight="1">
      <c r="G185" s="7"/>
      <c r="J185" s="8"/>
      <c r="Z185" s="8"/>
    </row>
    <row r="186" ht="15.75" customHeight="1">
      <c r="G186" s="7"/>
      <c r="J186" s="8"/>
      <c r="Z186" s="8"/>
    </row>
    <row r="187" ht="15.75" customHeight="1">
      <c r="G187" s="7"/>
      <c r="J187" s="8"/>
      <c r="Z187" s="8"/>
    </row>
    <row r="188" ht="15.75" customHeight="1">
      <c r="G188" s="7"/>
      <c r="J188" s="8"/>
      <c r="Z188" s="8"/>
    </row>
    <row r="189" ht="15.75" customHeight="1">
      <c r="G189" s="7"/>
      <c r="J189" s="8"/>
      <c r="Z189" s="8"/>
    </row>
    <row r="190" ht="15.75" customHeight="1">
      <c r="G190" s="7"/>
      <c r="J190" s="8"/>
      <c r="Z190" s="8"/>
    </row>
    <row r="191" ht="15.75" customHeight="1">
      <c r="G191" s="7"/>
      <c r="J191" s="8"/>
      <c r="Z191" s="8"/>
    </row>
    <row r="192" ht="15.75" customHeight="1">
      <c r="G192" s="7"/>
      <c r="J192" s="8"/>
      <c r="Z192" s="8"/>
    </row>
    <row r="193" ht="15.75" customHeight="1">
      <c r="G193" s="7"/>
      <c r="J193" s="8"/>
      <c r="Z193" s="8"/>
    </row>
    <row r="194" ht="15.75" customHeight="1">
      <c r="G194" s="7"/>
      <c r="J194" s="8"/>
      <c r="Z194" s="8"/>
    </row>
    <row r="195" ht="15.75" customHeight="1">
      <c r="G195" s="7"/>
      <c r="J195" s="8"/>
      <c r="Z195" s="8"/>
    </row>
    <row r="196" ht="15.75" customHeight="1">
      <c r="G196" s="7"/>
      <c r="J196" s="8"/>
      <c r="Z196" s="8"/>
    </row>
    <row r="197" ht="15.75" customHeight="1">
      <c r="G197" s="7"/>
      <c r="J197" s="8"/>
      <c r="Z197" s="8"/>
    </row>
    <row r="198" ht="15.75" customHeight="1">
      <c r="G198" s="7"/>
      <c r="J198" s="8"/>
      <c r="Z198" s="8"/>
    </row>
    <row r="199" ht="15.75" customHeight="1">
      <c r="G199" s="7"/>
      <c r="J199" s="8"/>
      <c r="Z199" s="8"/>
    </row>
    <row r="200" ht="15.75" customHeight="1">
      <c r="G200" s="7"/>
      <c r="J200" s="8"/>
      <c r="Z200" s="8"/>
    </row>
    <row r="201" ht="15.75" customHeight="1">
      <c r="G201" s="7"/>
      <c r="J201" s="8"/>
      <c r="Z201" s="8"/>
    </row>
    <row r="202" ht="15.75" customHeight="1">
      <c r="G202" s="7"/>
      <c r="J202" s="8"/>
      <c r="Z202" s="8"/>
    </row>
    <row r="203" ht="15.75" customHeight="1">
      <c r="G203" s="7"/>
      <c r="J203" s="8"/>
      <c r="Z203" s="8"/>
    </row>
    <row r="204" ht="15.75" customHeight="1">
      <c r="G204" s="7"/>
      <c r="J204" s="8"/>
      <c r="Z204" s="8"/>
    </row>
    <row r="205" ht="15.75" customHeight="1">
      <c r="G205" s="7"/>
      <c r="J205" s="8"/>
      <c r="Z205" s="8"/>
    </row>
    <row r="206" ht="15.75" customHeight="1">
      <c r="G206" s="7"/>
      <c r="J206" s="8"/>
      <c r="Z206" s="8"/>
    </row>
    <row r="207" ht="15.75" customHeight="1">
      <c r="G207" s="7"/>
      <c r="J207" s="8"/>
      <c r="Z207" s="8"/>
    </row>
    <row r="208" ht="15.75" customHeight="1">
      <c r="G208" s="7"/>
      <c r="J208" s="8"/>
      <c r="Z208" s="8"/>
    </row>
    <row r="209" ht="15.75" customHeight="1">
      <c r="G209" s="7"/>
      <c r="J209" s="8"/>
      <c r="Z209" s="8"/>
    </row>
    <row r="210" ht="15.75" customHeight="1">
      <c r="G210" s="7"/>
      <c r="J210" s="8"/>
      <c r="Z210" s="8"/>
    </row>
    <row r="211" ht="15.75" customHeight="1">
      <c r="G211" s="7"/>
      <c r="J211" s="8"/>
      <c r="Z211" s="8"/>
    </row>
    <row r="212" ht="15.75" customHeight="1">
      <c r="G212" s="7"/>
      <c r="J212" s="8"/>
      <c r="Z212" s="8"/>
    </row>
    <row r="213" ht="15.75" customHeight="1">
      <c r="G213" s="7"/>
      <c r="J213" s="8"/>
      <c r="Z213" s="8"/>
    </row>
    <row r="214" ht="15.75" customHeight="1">
      <c r="G214" s="7"/>
      <c r="J214" s="8"/>
      <c r="Z214" s="8"/>
    </row>
    <row r="215" ht="15.75" customHeight="1">
      <c r="G215" s="7"/>
      <c r="J215" s="8"/>
      <c r="Z215" s="8"/>
    </row>
    <row r="216" ht="15.75" customHeight="1">
      <c r="G216" s="7"/>
      <c r="J216" s="8"/>
      <c r="Z216" s="8"/>
    </row>
    <row r="217" ht="15.75" customHeight="1">
      <c r="G217" s="7"/>
      <c r="J217" s="8"/>
      <c r="Z217" s="8"/>
    </row>
    <row r="218" ht="15.75" customHeight="1">
      <c r="G218" s="7"/>
      <c r="J218" s="8"/>
      <c r="Z218" s="8"/>
    </row>
    <row r="219" ht="15.75" customHeight="1">
      <c r="G219" s="7"/>
      <c r="J219" s="8"/>
      <c r="Z219" s="8"/>
    </row>
    <row r="220" ht="15.75" customHeight="1">
      <c r="G220" s="7"/>
      <c r="J220" s="8"/>
      <c r="Z220" s="8"/>
    </row>
    <row r="221" ht="15.75" customHeight="1">
      <c r="G221" s="7"/>
      <c r="J221" s="8"/>
      <c r="Z221" s="8"/>
    </row>
    <row r="222" ht="15.75" customHeight="1">
      <c r="G222" s="7"/>
      <c r="J222" s="8"/>
      <c r="Z222" s="8"/>
    </row>
    <row r="223" ht="15.75" customHeight="1">
      <c r="G223" s="7"/>
      <c r="J223" s="8"/>
      <c r="Z223" s="8"/>
    </row>
    <row r="224" ht="15.75" customHeight="1">
      <c r="G224" s="7"/>
      <c r="J224" s="8"/>
      <c r="Z224" s="8"/>
    </row>
    <row r="225" ht="15.75" customHeight="1">
      <c r="G225" s="7"/>
      <c r="J225" s="8"/>
      <c r="Z225" s="8"/>
    </row>
    <row r="226" ht="15.75" customHeight="1">
      <c r="G226" s="7"/>
      <c r="J226" s="8"/>
      <c r="Z226" s="8"/>
    </row>
    <row r="227" ht="15.75" customHeight="1">
      <c r="G227" s="7"/>
      <c r="J227" s="8"/>
      <c r="Z227" s="8"/>
    </row>
    <row r="228" ht="15.75" customHeight="1">
      <c r="G228" s="7"/>
      <c r="J228" s="8"/>
      <c r="Z228" s="8"/>
    </row>
    <row r="229" ht="15.75" customHeight="1">
      <c r="G229" s="7"/>
      <c r="J229" s="8"/>
      <c r="Z229" s="8"/>
    </row>
    <row r="230" ht="15.75" customHeight="1">
      <c r="G230" s="7"/>
      <c r="J230" s="8"/>
      <c r="Z230" s="8"/>
    </row>
    <row r="231" ht="15.75" customHeight="1">
      <c r="G231" s="7"/>
      <c r="J231" s="8"/>
      <c r="Z231" s="8"/>
    </row>
    <row r="232" ht="15.75" customHeight="1">
      <c r="G232" s="7"/>
      <c r="J232" s="8"/>
      <c r="Z232" s="8"/>
    </row>
    <row r="233" ht="15.75" customHeight="1">
      <c r="G233" s="7"/>
      <c r="J233" s="8"/>
      <c r="Z233" s="8"/>
    </row>
    <row r="234" ht="15.75" customHeight="1">
      <c r="G234" s="7"/>
      <c r="J234" s="8"/>
      <c r="Z234" s="8"/>
    </row>
    <row r="235" ht="15.75" customHeight="1">
      <c r="G235" s="7"/>
      <c r="J235" s="8"/>
      <c r="Z235" s="8"/>
    </row>
    <row r="236" ht="15.75" customHeight="1">
      <c r="G236" s="7"/>
      <c r="J236" s="8"/>
      <c r="Z236" s="8"/>
    </row>
    <row r="237" ht="15.75" customHeight="1">
      <c r="G237" s="7"/>
      <c r="J237" s="8"/>
      <c r="Z237" s="8"/>
    </row>
    <row r="238" ht="15.75" customHeight="1">
      <c r="G238" s="7"/>
      <c r="J238" s="8"/>
      <c r="Z238" s="8"/>
    </row>
    <row r="239" ht="15.75" customHeight="1">
      <c r="G239" s="7"/>
      <c r="J239" s="8"/>
      <c r="Z239" s="8"/>
    </row>
    <row r="240" ht="15.75" customHeight="1">
      <c r="G240" s="7"/>
      <c r="J240" s="8"/>
      <c r="Z240" s="8"/>
    </row>
    <row r="241" ht="15.75" customHeight="1">
      <c r="G241" s="7"/>
      <c r="J241" s="8"/>
      <c r="Z241" s="8"/>
    </row>
    <row r="242" ht="15.75" customHeight="1">
      <c r="G242" s="7"/>
      <c r="J242" s="8"/>
      <c r="Z242" s="8"/>
    </row>
    <row r="243" ht="15.75" customHeight="1">
      <c r="G243" s="7"/>
      <c r="J243" s="8"/>
      <c r="Z243" s="8"/>
    </row>
    <row r="244" ht="15.75" customHeight="1">
      <c r="G244" s="7"/>
      <c r="J244" s="8"/>
      <c r="Z244" s="8"/>
    </row>
    <row r="245" ht="15.75" customHeight="1">
      <c r="G245" s="7"/>
      <c r="J245" s="8"/>
      <c r="Z245" s="8"/>
    </row>
    <row r="246" ht="15.75" customHeight="1">
      <c r="G246" s="7"/>
      <c r="J246" s="8"/>
      <c r="Z246" s="8"/>
    </row>
    <row r="247" ht="15.75" customHeight="1">
      <c r="G247" s="7"/>
      <c r="J247" s="8"/>
      <c r="Z247" s="8"/>
    </row>
    <row r="248" ht="15.75" customHeight="1">
      <c r="G248" s="7"/>
      <c r="J248" s="8"/>
      <c r="Z248" s="8"/>
    </row>
    <row r="249" ht="15.75" customHeight="1">
      <c r="G249" s="7"/>
      <c r="J249" s="8"/>
      <c r="Z249" s="8"/>
    </row>
    <row r="250" ht="15.75" customHeight="1">
      <c r="G250" s="7"/>
      <c r="J250" s="8"/>
      <c r="Z250" s="8"/>
    </row>
    <row r="251" ht="15.75" customHeight="1">
      <c r="G251" s="7"/>
      <c r="J251" s="8"/>
      <c r="Z251" s="8"/>
    </row>
    <row r="252" ht="15.75" customHeight="1">
      <c r="G252" s="7"/>
      <c r="J252" s="8"/>
      <c r="Z252" s="8"/>
    </row>
    <row r="253" ht="15.75" customHeight="1">
      <c r="G253" s="7"/>
      <c r="J253" s="8"/>
      <c r="Z253" s="8"/>
    </row>
    <row r="254" ht="15.75" customHeight="1">
      <c r="G254" s="7"/>
      <c r="J254" s="8"/>
      <c r="Z254" s="8"/>
    </row>
    <row r="255" ht="15.75" customHeight="1">
      <c r="G255" s="7"/>
      <c r="J255" s="8"/>
      <c r="Z255" s="8"/>
    </row>
    <row r="256" ht="15.75" customHeight="1">
      <c r="G256" s="7"/>
      <c r="J256" s="8"/>
      <c r="Z256" s="8"/>
    </row>
    <row r="257" ht="15.75" customHeight="1">
      <c r="G257" s="7"/>
      <c r="J257" s="8"/>
      <c r="Z257" s="8"/>
    </row>
    <row r="258" ht="15.75" customHeight="1">
      <c r="G258" s="7"/>
      <c r="J258" s="8"/>
      <c r="Z258" s="8"/>
    </row>
    <row r="259" ht="15.75" customHeight="1">
      <c r="G259" s="7"/>
      <c r="J259" s="8"/>
      <c r="Z259" s="8"/>
    </row>
    <row r="260" ht="15.75" customHeight="1">
      <c r="G260" s="7"/>
      <c r="J260" s="8"/>
      <c r="Z260" s="8"/>
    </row>
    <row r="261" ht="15.75" customHeight="1">
      <c r="G261" s="7"/>
      <c r="J261" s="8"/>
      <c r="Z261" s="8"/>
    </row>
    <row r="262" ht="15.75" customHeight="1">
      <c r="G262" s="7"/>
      <c r="J262" s="8"/>
      <c r="Z262" s="8"/>
    </row>
    <row r="263" ht="15.75" customHeight="1">
      <c r="G263" s="7"/>
      <c r="J263" s="8"/>
      <c r="Z263" s="8"/>
    </row>
    <row r="264" ht="15.75" customHeight="1">
      <c r="G264" s="7"/>
      <c r="J264" s="8"/>
      <c r="Z264" s="8"/>
    </row>
    <row r="265" ht="15.75" customHeight="1">
      <c r="G265" s="7"/>
      <c r="J265" s="8"/>
      <c r="Z265" s="8"/>
    </row>
    <row r="266" ht="15.75" customHeight="1">
      <c r="G266" s="7"/>
      <c r="J266" s="8"/>
      <c r="Z266" s="8"/>
    </row>
    <row r="267" ht="15.75" customHeight="1">
      <c r="G267" s="7"/>
      <c r="J267" s="8"/>
      <c r="Z267" s="8"/>
    </row>
    <row r="268" ht="15.75" customHeight="1">
      <c r="G268" s="7"/>
      <c r="J268" s="8"/>
      <c r="Z268" s="8"/>
    </row>
    <row r="269" ht="15.75" customHeight="1">
      <c r="G269" s="7"/>
      <c r="J269" s="8"/>
      <c r="Z269" s="8"/>
    </row>
    <row r="270" ht="15.75" customHeight="1">
      <c r="G270" s="7"/>
      <c r="J270" s="8"/>
      <c r="Z270" s="8"/>
    </row>
    <row r="271" ht="15.75" customHeight="1">
      <c r="G271" s="7"/>
      <c r="J271" s="8"/>
      <c r="Z271" s="8"/>
    </row>
    <row r="272" ht="15.75" customHeight="1">
      <c r="G272" s="7"/>
      <c r="J272" s="8"/>
      <c r="Z272" s="8"/>
    </row>
    <row r="273" ht="15.75" customHeight="1">
      <c r="G273" s="7"/>
      <c r="J273" s="8"/>
      <c r="Z273" s="8"/>
    </row>
    <row r="274" ht="15.75" customHeight="1">
      <c r="G274" s="7"/>
      <c r="J274" s="8"/>
      <c r="Z274" s="8"/>
    </row>
    <row r="275" ht="15.75" customHeight="1">
      <c r="G275" s="7"/>
      <c r="J275" s="8"/>
      <c r="Z275" s="8"/>
    </row>
    <row r="276" ht="15.75" customHeight="1">
      <c r="G276" s="7"/>
      <c r="J276" s="8"/>
      <c r="Z276" s="8"/>
    </row>
    <row r="277" ht="15.75" customHeight="1">
      <c r="G277" s="7"/>
      <c r="J277" s="8"/>
      <c r="Z277" s="8"/>
    </row>
    <row r="278" ht="15.75" customHeight="1">
      <c r="G278" s="7"/>
      <c r="J278" s="8"/>
      <c r="Z278" s="8"/>
    </row>
    <row r="279" ht="15.75" customHeight="1">
      <c r="G279" s="7"/>
      <c r="J279" s="8"/>
      <c r="Z279" s="8"/>
    </row>
    <row r="280" ht="15.75" customHeight="1">
      <c r="G280" s="7"/>
      <c r="J280" s="8"/>
      <c r="Z280" s="8"/>
    </row>
    <row r="281" ht="15.75" customHeight="1">
      <c r="G281" s="7"/>
      <c r="J281" s="8"/>
      <c r="Z281" s="8"/>
    </row>
    <row r="282" ht="15.75" customHeight="1">
      <c r="G282" s="7"/>
      <c r="J282" s="8"/>
      <c r="Z282" s="8"/>
    </row>
    <row r="283" ht="15.75" customHeight="1">
      <c r="G283" s="7"/>
      <c r="J283" s="8"/>
      <c r="Z283" s="8"/>
    </row>
    <row r="284" ht="15.75" customHeight="1">
      <c r="G284" s="7"/>
      <c r="J284" s="8"/>
      <c r="Z284" s="8"/>
    </row>
    <row r="285" ht="15.75" customHeight="1">
      <c r="G285" s="7"/>
      <c r="J285" s="8"/>
      <c r="Z285" s="8"/>
    </row>
    <row r="286" ht="15.75" customHeight="1">
      <c r="G286" s="7"/>
      <c r="J286" s="8"/>
      <c r="Z286" s="8"/>
    </row>
    <row r="287" ht="15.75" customHeight="1">
      <c r="G287" s="7"/>
      <c r="J287" s="8"/>
      <c r="Z287" s="8"/>
    </row>
    <row r="288" ht="15.75" customHeight="1">
      <c r="G288" s="7"/>
      <c r="J288" s="8"/>
      <c r="Z288" s="8"/>
    </row>
    <row r="289" ht="15.75" customHeight="1">
      <c r="G289" s="7"/>
      <c r="J289" s="8"/>
      <c r="Z289" s="8"/>
    </row>
    <row r="290" ht="15.75" customHeight="1">
      <c r="G290" s="7"/>
      <c r="J290" s="8"/>
      <c r="Z290" s="8"/>
    </row>
    <row r="291" ht="15.75" customHeight="1">
      <c r="G291" s="7"/>
      <c r="J291" s="8"/>
      <c r="Z291" s="8"/>
    </row>
    <row r="292" ht="15.75" customHeight="1">
      <c r="G292" s="7"/>
      <c r="J292" s="8"/>
      <c r="Z292" s="8"/>
    </row>
    <row r="293" ht="15.75" customHeight="1">
      <c r="G293" s="7"/>
      <c r="J293" s="8"/>
      <c r="Z293" s="8"/>
    </row>
    <row r="294" ht="15.75" customHeight="1">
      <c r="G294" s="7"/>
      <c r="J294" s="8"/>
      <c r="Z294" s="8"/>
    </row>
    <row r="295" ht="15.75" customHeight="1">
      <c r="G295" s="7"/>
      <c r="J295" s="8"/>
      <c r="Z295" s="8"/>
    </row>
    <row r="296" ht="15.75" customHeight="1">
      <c r="G296" s="7"/>
      <c r="J296" s="8"/>
      <c r="Z296" s="8"/>
    </row>
    <row r="297" ht="15.75" customHeight="1">
      <c r="G297" s="7"/>
      <c r="J297" s="8"/>
      <c r="Z297" s="8"/>
    </row>
    <row r="298" ht="15.75" customHeight="1">
      <c r="G298" s="7"/>
      <c r="J298" s="8"/>
      <c r="Z298" s="8"/>
    </row>
    <row r="299" ht="15.75" customHeight="1">
      <c r="G299" s="7"/>
      <c r="J299" s="8"/>
      <c r="Z299" s="8"/>
    </row>
    <row r="300" ht="15.75" customHeight="1">
      <c r="G300" s="7"/>
      <c r="J300" s="8"/>
      <c r="Z300" s="8"/>
    </row>
    <row r="301" ht="15.75" customHeight="1">
      <c r="G301" s="7"/>
      <c r="J301" s="8"/>
      <c r="Z301" s="8"/>
    </row>
    <row r="302" ht="15.75" customHeight="1">
      <c r="G302" s="7"/>
      <c r="J302" s="8"/>
      <c r="Z302" s="8"/>
    </row>
    <row r="303" ht="15.75" customHeight="1">
      <c r="G303" s="7"/>
      <c r="J303" s="8"/>
      <c r="Z303" s="8"/>
    </row>
    <row r="304" ht="15.75" customHeight="1">
      <c r="G304" s="7"/>
      <c r="J304" s="8"/>
      <c r="Z304" s="8"/>
    </row>
    <row r="305" ht="15.75" customHeight="1">
      <c r="G305" s="7"/>
      <c r="J305" s="8"/>
      <c r="Z305" s="8"/>
    </row>
    <row r="306" ht="15.75" customHeight="1">
      <c r="G306" s="7"/>
      <c r="J306" s="8"/>
      <c r="Z306" s="8"/>
    </row>
    <row r="307" ht="15.75" customHeight="1">
      <c r="G307" s="7"/>
      <c r="J307" s="8"/>
      <c r="Z307" s="8"/>
    </row>
    <row r="308" ht="15.75" customHeight="1">
      <c r="G308" s="7"/>
      <c r="J308" s="8"/>
      <c r="Z308" s="8"/>
    </row>
    <row r="309" ht="15.75" customHeight="1">
      <c r="G309" s="7"/>
      <c r="J309" s="8"/>
      <c r="Z309" s="8"/>
    </row>
    <row r="310" ht="15.75" customHeight="1">
      <c r="G310" s="7"/>
      <c r="J310" s="8"/>
      <c r="Z310" s="8"/>
    </row>
    <row r="311" ht="15.75" customHeight="1">
      <c r="G311" s="7"/>
      <c r="J311" s="8"/>
      <c r="Z311" s="8"/>
    </row>
    <row r="312" ht="15.75" customHeight="1">
      <c r="G312" s="7"/>
      <c r="J312" s="8"/>
      <c r="Z312" s="8"/>
    </row>
    <row r="313" ht="15.75" customHeight="1">
      <c r="G313" s="7"/>
      <c r="J313" s="8"/>
      <c r="Z313" s="8"/>
    </row>
    <row r="314" ht="15.75" customHeight="1">
      <c r="G314" s="7"/>
      <c r="J314" s="8"/>
      <c r="Z314" s="8"/>
    </row>
    <row r="315" ht="15.75" customHeight="1">
      <c r="G315" s="7"/>
      <c r="J315" s="8"/>
      <c r="Z315" s="8"/>
    </row>
    <row r="316" ht="15.75" customHeight="1">
      <c r="G316" s="7"/>
      <c r="J316" s="8"/>
      <c r="Z316" s="8"/>
    </row>
    <row r="317" ht="15.75" customHeight="1">
      <c r="G317" s="7"/>
      <c r="J317" s="8"/>
      <c r="Z317" s="8"/>
    </row>
    <row r="318" ht="15.75" customHeight="1">
      <c r="G318" s="7"/>
      <c r="J318" s="8"/>
      <c r="Z318" s="8"/>
    </row>
    <row r="319" ht="15.75" customHeight="1">
      <c r="G319" s="7"/>
      <c r="J319" s="8"/>
      <c r="Z319" s="8"/>
    </row>
    <row r="320" ht="15.75" customHeight="1">
      <c r="G320" s="7"/>
      <c r="J320" s="8"/>
      <c r="Z320" s="8"/>
    </row>
    <row r="321" ht="15.75" customHeight="1">
      <c r="G321" s="7"/>
      <c r="J321" s="8"/>
      <c r="Z321" s="8"/>
    </row>
    <row r="322" ht="15.75" customHeight="1">
      <c r="G322" s="7"/>
      <c r="J322" s="8"/>
      <c r="Z322" s="8"/>
    </row>
    <row r="323" ht="15.75" customHeight="1">
      <c r="G323" s="7"/>
      <c r="J323" s="8"/>
      <c r="Z323" s="8"/>
    </row>
    <row r="324" ht="15.75" customHeight="1">
      <c r="G324" s="7"/>
      <c r="J324" s="8"/>
      <c r="Z324" s="8"/>
    </row>
    <row r="325" ht="15.75" customHeight="1">
      <c r="G325" s="7"/>
      <c r="J325" s="8"/>
      <c r="Z325" s="8"/>
    </row>
    <row r="326" ht="15.75" customHeight="1">
      <c r="G326" s="7"/>
      <c r="J326" s="8"/>
      <c r="Z326" s="8"/>
    </row>
    <row r="327" ht="15.75" customHeight="1">
      <c r="G327" s="7"/>
      <c r="J327" s="8"/>
      <c r="Z327" s="8"/>
    </row>
    <row r="328" ht="15.75" customHeight="1">
      <c r="G328" s="7"/>
      <c r="J328" s="8"/>
      <c r="Z328" s="8"/>
    </row>
    <row r="329" ht="15.75" customHeight="1">
      <c r="G329" s="7"/>
      <c r="J329" s="8"/>
      <c r="Z329" s="8"/>
    </row>
    <row r="330" ht="15.75" customHeight="1">
      <c r="G330" s="7"/>
      <c r="J330" s="8"/>
      <c r="Z330" s="8"/>
    </row>
    <row r="331" ht="15.75" customHeight="1">
      <c r="G331" s="7"/>
      <c r="J331" s="8"/>
      <c r="Z331" s="8"/>
    </row>
    <row r="332" ht="15.75" customHeight="1">
      <c r="G332" s="7"/>
      <c r="J332" s="8"/>
      <c r="Z332" s="8"/>
    </row>
    <row r="333" ht="15.75" customHeight="1">
      <c r="G333" s="7"/>
      <c r="J333" s="8"/>
      <c r="Z333" s="8"/>
    </row>
    <row r="334" ht="15.75" customHeight="1">
      <c r="G334" s="7"/>
      <c r="J334" s="8"/>
      <c r="Z334" s="8"/>
    </row>
    <row r="335" ht="15.75" customHeight="1">
      <c r="G335" s="7"/>
      <c r="J335" s="8"/>
      <c r="Z335" s="8"/>
    </row>
    <row r="336" ht="15.75" customHeight="1">
      <c r="G336" s="7"/>
      <c r="J336" s="8"/>
      <c r="Z336" s="8"/>
    </row>
    <row r="337" ht="15.75" customHeight="1">
      <c r="G337" s="7"/>
      <c r="J337" s="8"/>
      <c r="Z337" s="8"/>
    </row>
    <row r="338" ht="15.75" customHeight="1">
      <c r="G338" s="7"/>
      <c r="J338" s="8"/>
      <c r="Z338" s="8"/>
    </row>
    <row r="339" ht="15.75" customHeight="1">
      <c r="G339" s="7"/>
      <c r="J339" s="8"/>
      <c r="Z339" s="8"/>
    </row>
    <row r="340" ht="15.75" customHeight="1">
      <c r="G340" s="7"/>
      <c r="J340" s="8"/>
      <c r="Z340" s="8"/>
    </row>
    <row r="341" ht="15.75" customHeight="1">
      <c r="G341" s="7"/>
      <c r="J341" s="8"/>
      <c r="Z341" s="8"/>
    </row>
    <row r="342" ht="15.75" customHeight="1">
      <c r="G342" s="7"/>
      <c r="J342" s="8"/>
      <c r="Z342" s="8"/>
    </row>
    <row r="343" ht="15.75" customHeight="1">
      <c r="G343" s="7"/>
      <c r="J343" s="8"/>
      <c r="Z343" s="8"/>
    </row>
    <row r="344" ht="15.75" customHeight="1">
      <c r="G344" s="7"/>
      <c r="J344" s="8"/>
      <c r="Z344" s="8"/>
    </row>
    <row r="345" ht="15.75" customHeight="1">
      <c r="G345" s="7"/>
      <c r="J345" s="8"/>
      <c r="Z345" s="8"/>
    </row>
    <row r="346" ht="15.75" customHeight="1">
      <c r="G346" s="7"/>
      <c r="J346" s="8"/>
      <c r="Z346" s="8"/>
    </row>
    <row r="347" ht="15.75" customHeight="1">
      <c r="G347" s="7"/>
      <c r="J347" s="8"/>
      <c r="Z347" s="8"/>
    </row>
    <row r="348" ht="15.75" customHeight="1">
      <c r="G348" s="7"/>
      <c r="J348" s="8"/>
      <c r="Z348" s="8"/>
    </row>
    <row r="349" ht="15.75" customHeight="1">
      <c r="G349" s="7"/>
      <c r="J349" s="8"/>
      <c r="Z349" s="8"/>
    </row>
    <row r="350" ht="15.75" customHeight="1">
      <c r="G350" s="7"/>
      <c r="J350" s="8"/>
      <c r="Z350" s="8"/>
    </row>
    <row r="351" ht="15.75" customHeight="1">
      <c r="G351" s="7"/>
      <c r="J351" s="8"/>
      <c r="Z351" s="8"/>
    </row>
    <row r="352" ht="15.75" customHeight="1">
      <c r="G352" s="7"/>
      <c r="J352" s="8"/>
      <c r="Z352" s="8"/>
    </row>
    <row r="353" ht="15.75" customHeight="1">
      <c r="G353" s="7"/>
      <c r="J353" s="8"/>
      <c r="Z353" s="8"/>
    </row>
    <row r="354" ht="15.75" customHeight="1">
      <c r="G354" s="7"/>
      <c r="J354" s="8"/>
      <c r="Z354" s="8"/>
    </row>
    <row r="355" ht="15.75" customHeight="1">
      <c r="G355" s="7"/>
      <c r="J355" s="8"/>
      <c r="Z355" s="8"/>
    </row>
    <row r="356" ht="15.75" customHeight="1">
      <c r="G356" s="7"/>
      <c r="J356" s="8"/>
      <c r="Z356" s="8"/>
    </row>
    <row r="357" ht="15.75" customHeight="1">
      <c r="G357" s="7"/>
      <c r="J357" s="8"/>
      <c r="Z357" s="8"/>
    </row>
    <row r="358" ht="15.75" customHeight="1">
      <c r="G358" s="7"/>
      <c r="J358" s="8"/>
      <c r="Z358" s="8"/>
    </row>
    <row r="359" ht="15.75" customHeight="1">
      <c r="G359" s="7"/>
      <c r="J359" s="8"/>
      <c r="Z359" s="8"/>
    </row>
    <row r="360" ht="15.75" customHeight="1">
      <c r="G360" s="7"/>
      <c r="J360" s="8"/>
      <c r="Z360" s="8"/>
    </row>
    <row r="361" ht="15.75" customHeight="1">
      <c r="G361" s="7"/>
      <c r="J361" s="8"/>
      <c r="Z361" s="8"/>
    </row>
    <row r="362" ht="15.75" customHeight="1">
      <c r="G362" s="7"/>
      <c r="J362" s="8"/>
      <c r="Z362" s="8"/>
    </row>
    <row r="363" ht="15.75" customHeight="1">
      <c r="G363" s="7"/>
      <c r="J363" s="8"/>
      <c r="Z363" s="8"/>
    </row>
    <row r="364" ht="15.75" customHeight="1">
      <c r="G364" s="7"/>
      <c r="J364" s="8"/>
      <c r="Z364" s="8"/>
    </row>
    <row r="365" ht="15.75" customHeight="1">
      <c r="G365" s="7"/>
      <c r="J365" s="8"/>
      <c r="Z365" s="8"/>
    </row>
    <row r="366" ht="15.75" customHeight="1">
      <c r="G366" s="7"/>
      <c r="J366" s="8"/>
      <c r="Z366" s="8"/>
    </row>
    <row r="367" ht="15.75" customHeight="1">
      <c r="G367" s="7"/>
      <c r="J367" s="8"/>
      <c r="Z367" s="8"/>
    </row>
    <row r="368" ht="15.75" customHeight="1">
      <c r="G368" s="7"/>
      <c r="J368" s="8"/>
      <c r="Z368" s="8"/>
    </row>
    <row r="369" ht="15.75" customHeight="1">
      <c r="G369" s="7"/>
      <c r="J369" s="8"/>
      <c r="Z369" s="8"/>
    </row>
    <row r="370" ht="15.75" customHeight="1">
      <c r="G370" s="7"/>
      <c r="J370" s="8"/>
      <c r="Z370" s="8"/>
    </row>
    <row r="371" ht="15.75" customHeight="1">
      <c r="G371" s="7"/>
      <c r="J371" s="8"/>
      <c r="Z371" s="8"/>
    </row>
    <row r="372" ht="15.75" customHeight="1">
      <c r="G372" s="7"/>
      <c r="J372" s="8"/>
      <c r="Z372" s="8"/>
    </row>
    <row r="373" ht="15.75" customHeight="1">
      <c r="G373" s="7"/>
      <c r="J373" s="8"/>
      <c r="Z373" s="8"/>
    </row>
    <row r="374" ht="15.75" customHeight="1">
      <c r="G374" s="7"/>
      <c r="J374" s="8"/>
      <c r="Z374" s="8"/>
    </row>
    <row r="375" ht="15.75" customHeight="1">
      <c r="G375" s="7"/>
      <c r="J375" s="8"/>
      <c r="Z375" s="8"/>
    </row>
    <row r="376" ht="15.75" customHeight="1">
      <c r="G376" s="7"/>
      <c r="J376" s="8"/>
      <c r="Z376" s="8"/>
    </row>
    <row r="377" ht="15.75" customHeight="1">
      <c r="G377" s="7"/>
      <c r="J377" s="8"/>
      <c r="Z377" s="8"/>
    </row>
    <row r="378" ht="15.75" customHeight="1">
      <c r="G378" s="7"/>
      <c r="J378" s="8"/>
      <c r="Z378" s="8"/>
    </row>
    <row r="379" ht="15.75" customHeight="1">
      <c r="G379" s="7"/>
      <c r="J379" s="8"/>
      <c r="Z379" s="8"/>
    </row>
    <row r="380" ht="15.75" customHeight="1">
      <c r="G380" s="7"/>
      <c r="J380" s="8"/>
      <c r="Z380" s="8"/>
    </row>
    <row r="381" ht="15.75" customHeight="1">
      <c r="G381" s="7"/>
      <c r="J381" s="8"/>
      <c r="Z381" s="8"/>
    </row>
    <row r="382" ht="15.75" customHeight="1">
      <c r="G382" s="7"/>
      <c r="J382" s="8"/>
      <c r="Z382" s="8"/>
    </row>
    <row r="383" ht="15.75" customHeight="1">
      <c r="G383" s="7"/>
      <c r="J383" s="8"/>
      <c r="Z383" s="8"/>
    </row>
    <row r="384" ht="15.75" customHeight="1">
      <c r="G384" s="7"/>
      <c r="J384" s="8"/>
      <c r="Z384" s="8"/>
    </row>
    <row r="385" ht="15.75" customHeight="1">
      <c r="G385" s="7"/>
      <c r="J385" s="8"/>
      <c r="Z385" s="8"/>
    </row>
    <row r="386" ht="15.75" customHeight="1">
      <c r="G386" s="7"/>
      <c r="J386" s="8"/>
      <c r="Z386" s="8"/>
    </row>
    <row r="387" ht="15.75" customHeight="1">
      <c r="G387" s="7"/>
      <c r="J387" s="8"/>
      <c r="Z387" s="8"/>
    </row>
    <row r="388" ht="15.75" customHeight="1">
      <c r="G388" s="7"/>
      <c r="J388" s="8"/>
      <c r="Z388" s="8"/>
    </row>
    <row r="389" ht="15.75" customHeight="1">
      <c r="G389" s="7"/>
      <c r="J389" s="8"/>
      <c r="Z389" s="8"/>
    </row>
    <row r="390" ht="15.75" customHeight="1">
      <c r="G390" s="7"/>
      <c r="J390" s="8"/>
      <c r="Z390" s="8"/>
    </row>
    <row r="391" ht="15.75" customHeight="1">
      <c r="G391" s="7"/>
      <c r="J391" s="8"/>
      <c r="Z391" s="8"/>
    </row>
    <row r="392" ht="15.75" customHeight="1">
      <c r="G392" s="7"/>
      <c r="J392" s="8"/>
      <c r="Z392" s="8"/>
    </row>
    <row r="393" ht="15.75" customHeight="1">
      <c r="G393" s="7"/>
      <c r="J393" s="8"/>
      <c r="Z393" s="8"/>
    </row>
    <row r="394" ht="15.75" customHeight="1">
      <c r="G394" s="7"/>
      <c r="J394" s="8"/>
      <c r="Z394" s="8"/>
    </row>
    <row r="395" ht="15.75" customHeight="1">
      <c r="G395" s="7"/>
      <c r="J395" s="8"/>
      <c r="Z395" s="8"/>
    </row>
    <row r="396" ht="15.75" customHeight="1">
      <c r="G396" s="7"/>
      <c r="J396" s="8"/>
      <c r="Z396" s="8"/>
    </row>
    <row r="397" ht="15.75" customHeight="1">
      <c r="G397" s="7"/>
      <c r="J397" s="8"/>
      <c r="Z397" s="8"/>
    </row>
    <row r="398" ht="15.75" customHeight="1">
      <c r="G398" s="7"/>
      <c r="J398" s="8"/>
      <c r="Z398" s="8"/>
    </row>
    <row r="399" ht="15.75" customHeight="1">
      <c r="G399" s="7"/>
      <c r="J399" s="8"/>
      <c r="Z399" s="8"/>
    </row>
    <row r="400" ht="15.75" customHeight="1">
      <c r="G400" s="7"/>
      <c r="J400" s="8"/>
      <c r="Z400" s="8"/>
    </row>
    <row r="401" ht="15.75" customHeight="1">
      <c r="G401" s="7"/>
      <c r="J401" s="8"/>
      <c r="Z401" s="8"/>
    </row>
    <row r="402" ht="15.75" customHeight="1">
      <c r="G402" s="7"/>
      <c r="J402" s="8"/>
      <c r="Z402" s="8"/>
    </row>
    <row r="403" ht="15.75" customHeight="1">
      <c r="G403" s="7"/>
      <c r="J403" s="8"/>
      <c r="Z403" s="8"/>
    </row>
    <row r="404" ht="15.75" customHeight="1">
      <c r="G404" s="7"/>
      <c r="J404" s="8"/>
      <c r="Z404" s="8"/>
    </row>
    <row r="405" ht="15.75" customHeight="1">
      <c r="G405" s="7"/>
      <c r="J405" s="8"/>
      <c r="Z405" s="8"/>
    </row>
    <row r="406" ht="15.75" customHeight="1">
      <c r="G406" s="7"/>
      <c r="J406" s="8"/>
      <c r="Z406" s="8"/>
    </row>
    <row r="407" ht="15.75" customHeight="1">
      <c r="G407" s="7"/>
      <c r="J407" s="8"/>
      <c r="Z407" s="8"/>
    </row>
    <row r="408" ht="15.75" customHeight="1">
      <c r="G408" s="7"/>
      <c r="J408" s="8"/>
      <c r="Z408" s="8"/>
    </row>
    <row r="409" ht="15.75" customHeight="1">
      <c r="G409" s="7"/>
      <c r="J409" s="8"/>
      <c r="Z409" s="8"/>
    </row>
    <row r="410" ht="15.75" customHeight="1">
      <c r="G410" s="7"/>
      <c r="J410" s="8"/>
      <c r="Z410" s="8"/>
    </row>
    <row r="411" ht="15.75" customHeight="1">
      <c r="G411" s="7"/>
      <c r="J411" s="8"/>
      <c r="Z411" s="8"/>
    </row>
    <row r="412" ht="15.75" customHeight="1">
      <c r="G412" s="7"/>
      <c r="J412" s="8"/>
      <c r="Z412" s="8"/>
    </row>
    <row r="413" ht="15.75" customHeight="1">
      <c r="G413" s="7"/>
      <c r="J413" s="8"/>
      <c r="Z413" s="8"/>
    </row>
    <row r="414" ht="15.75" customHeight="1">
      <c r="G414" s="7"/>
      <c r="J414" s="8"/>
      <c r="Z414" s="8"/>
    </row>
    <row r="415" ht="15.75" customHeight="1">
      <c r="G415" s="7"/>
      <c r="J415" s="8"/>
      <c r="Z415" s="8"/>
    </row>
    <row r="416" ht="15.75" customHeight="1">
      <c r="G416" s="7"/>
      <c r="J416" s="8"/>
      <c r="Z416" s="8"/>
    </row>
    <row r="417" ht="15.75" customHeight="1">
      <c r="G417" s="7"/>
      <c r="J417" s="8"/>
      <c r="Z417" s="8"/>
    </row>
    <row r="418" ht="15.75" customHeight="1">
      <c r="G418" s="7"/>
      <c r="J418" s="8"/>
      <c r="Z418" s="8"/>
    </row>
    <row r="419" ht="15.75" customHeight="1">
      <c r="G419" s="7"/>
      <c r="J419" s="8"/>
      <c r="Z419" s="8"/>
    </row>
    <row r="420" ht="15.75" customHeight="1">
      <c r="G420" s="7"/>
      <c r="J420" s="8"/>
      <c r="Z420" s="8"/>
    </row>
    <row r="421" ht="15.75" customHeight="1">
      <c r="G421" s="7"/>
      <c r="J421" s="8"/>
      <c r="Z421" s="8"/>
    </row>
    <row r="422" ht="15.75" customHeight="1">
      <c r="G422" s="7"/>
      <c r="J422" s="8"/>
      <c r="Z422" s="8"/>
    </row>
    <row r="423" ht="15.75" customHeight="1">
      <c r="G423" s="7"/>
      <c r="J423" s="8"/>
      <c r="Z423" s="8"/>
    </row>
    <row r="424" ht="15.75" customHeight="1">
      <c r="G424" s="7"/>
      <c r="J424" s="8"/>
      <c r="Z424" s="8"/>
    </row>
    <row r="425" ht="15.75" customHeight="1">
      <c r="G425" s="7"/>
      <c r="J425" s="8"/>
      <c r="Z425" s="8"/>
    </row>
    <row r="426" ht="15.75" customHeight="1">
      <c r="G426" s="7"/>
      <c r="J426" s="8"/>
      <c r="Z426" s="8"/>
    </row>
    <row r="427" ht="15.75" customHeight="1">
      <c r="G427" s="7"/>
      <c r="J427" s="8"/>
      <c r="Z427" s="8"/>
    </row>
    <row r="428" ht="15.75" customHeight="1">
      <c r="G428" s="7"/>
      <c r="J428" s="8"/>
      <c r="Z428" s="8"/>
    </row>
    <row r="429" ht="15.75" customHeight="1">
      <c r="G429" s="7"/>
      <c r="J429" s="8"/>
      <c r="Z429" s="8"/>
    </row>
    <row r="430" ht="15.75" customHeight="1">
      <c r="G430" s="7"/>
      <c r="J430" s="8"/>
      <c r="Z430" s="8"/>
    </row>
    <row r="431" ht="15.75" customHeight="1">
      <c r="G431" s="7"/>
      <c r="J431" s="8"/>
      <c r="Z431" s="8"/>
    </row>
    <row r="432" ht="15.75" customHeight="1">
      <c r="G432" s="7"/>
      <c r="J432" s="8"/>
      <c r="Z432" s="8"/>
    </row>
    <row r="433" ht="15.75" customHeight="1">
      <c r="G433" s="7"/>
      <c r="J433" s="8"/>
      <c r="Z433" s="8"/>
    </row>
    <row r="434" ht="15.75" customHeight="1">
      <c r="G434" s="7"/>
      <c r="J434" s="8"/>
      <c r="Z434" s="8"/>
    </row>
    <row r="435" ht="15.75" customHeight="1">
      <c r="G435" s="7"/>
      <c r="J435" s="8"/>
      <c r="Z435" s="8"/>
    </row>
    <row r="436" ht="15.75" customHeight="1">
      <c r="G436" s="7"/>
      <c r="J436" s="8"/>
      <c r="Z436" s="8"/>
    </row>
    <row r="437" ht="15.75" customHeight="1">
      <c r="G437" s="7"/>
      <c r="J437" s="8"/>
      <c r="Z437" s="8"/>
    </row>
    <row r="438" ht="15.75" customHeight="1">
      <c r="G438" s="7"/>
      <c r="J438" s="8"/>
      <c r="Z438" s="8"/>
    </row>
    <row r="439" ht="15.75" customHeight="1">
      <c r="G439" s="7"/>
      <c r="J439" s="8"/>
      <c r="Z439" s="8"/>
    </row>
    <row r="440" ht="15.75" customHeight="1">
      <c r="G440" s="7"/>
      <c r="J440" s="8"/>
      <c r="Z440" s="8"/>
    </row>
    <row r="441" ht="15.75" customHeight="1">
      <c r="G441" s="7"/>
      <c r="J441" s="8"/>
      <c r="Z441" s="8"/>
    </row>
    <row r="442" ht="15.75" customHeight="1">
      <c r="G442" s="7"/>
      <c r="J442" s="8"/>
      <c r="Z442" s="8"/>
    </row>
    <row r="443" ht="15.75" customHeight="1">
      <c r="G443" s="7"/>
      <c r="J443" s="8"/>
      <c r="Z443" s="8"/>
    </row>
    <row r="444" ht="15.75" customHeight="1">
      <c r="G444" s="7"/>
      <c r="J444" s="8"/>
      <c r="Z444" s="8"/>
    </row>
    <row r="445" ht="15.75" customHeight="1">
      <c r="G445" s="7"/>
      <c r="J445" s="8"/>
      <c r="Z445" s="8"/>
    </row>
    <row r="446" ht="15.75" customHeight="1">
      <c r="G446" s="7"/>
      <c r="J446" s="8"/>
      <c r="Z446" s="8"/>
    </row>
    <row r="447" ht="15.75" customHeight="1">
      <c r="G447" s="7"/>
      <c r="J447" s="8"/>
      <c r="Z447" s="8"/>
    </row>
    <row r="448" ht="15.75" customHeight="1">
      <c r="G448" s="7"/>
      <c r="J448" s="8"/>
      <c r="Z448" s="8"/>
    </row>
    <row r="449" ht="15.75" customHeight="1">
      <c r="G449" s="7"/>
      <c r="J449" s="8"/>
      <c r="Z449" s="8"/>
    </row>
    <row r="450" ht="15.75" customHeight="1">
      <c r="G450" s="7"/>
      <c r="J450" s="8"/>
      <c r="Z450" s="8"/>
    </row>
    <row r="451" ht="15.75" customHeight="1">
      <c r="G451" s="7"/>
      <c r="J451" s="8"/>
      <c r="Z451" s="8"/>
    </row>
    <row r="452" ht="15.75" customHeight="1">
      <c r="G452" s="7"/>
      <c r="J452" s="8"/>
      <c r="Z452" s="8"/>
    </row>
    <row r="453" ht="15.75" customHeight="1">
      <c r="G453" s="7"/>
      <c r="J453" s="8"/>
      <c r="Z453" s="8"/>
    </row>
    <row r="454" ht="15.75" customHeight="1">
      <c r="G454" s="7"/>
      <c r="J454" s="8"/>
      <c r="Z454" s="8"/>
    </row>
    <row r="455" ht="15.75" customHeight="1">
      <c r="G455" s="7"/>
      <c r="J455" s="8"/>
      <c r="Z455" s="8"/>
    </row>
    <row r="456" ht="15.75" customHeight="1">
      <c r="G456" s="7"/>
      <c r="J456" s="8"/>
      <c r="Z456" s="8"/>
    </row>
    <row r="457" ht="15.75" customHeight="1">
      <c r="G457" s="7"/>
      <c r="J457" s="8"/>
      <c r="Z457" s="8"/>
    </row>
    <row r="458" ht="15.75" customHeight="1">
      <c r="G458" s="7"/>
      <c r="J458" s="8"/>
      <c r="Z458" s="8"/>
    </row>
    <row r="459" ht="15.75" customHeight="1">
      <c r="G459" s="7"/>
      <c r="J459" s="8"/>
      <c r="Z459" s="8"/>
    </row>
    <row r="460" ht="15.75" customHeight="1">
      <c r="G460" s="7"/>
      <c r="J460" s="8"/>
      <c r="Z460" s="8"/>
    </row>
    <row r="461" ht="15.75" customHeight="1">
      <c r="G461" s="7"/>
      <c r="J461" s="8"/>
      <c r="Z461" s="8"/>
    </row>
    <row r="462" ht="15.75" customHeight="1">
      <c r="G462" s="7"/>
      <c r="J462" s="8"/>
      <c r="Z462" s="8"/>
    </row>
    <row r="463" ht="15.75" customHeight="1">
      <c r="G463" s="7"/>
      <c r="J463" s="8"/>
      <c r="Z463" s="8"/>
    </row>
    <row r="464" ht="15.75" customHeight="1">
      <c r="G464" s="7"/>
      <c r="J464" s="8"/>
      <c r="Z464" s="8"/>
    </row>
    <row r="465" ht="15.75" customHeight="1">
      <c r="G465" s="7"/>
      <c r="J465" s="8"/>
      <c r="Z465" s="8"/>
    </row>
    <row r="466" ht="15.75" customHeight="1">
      <c r="G466" s="7"/>
      <c r="J466" s="8"/>
      <c r="Z466" s="8"/>
    </row>
    <row r="467" ht="15.75" customHeight="1">
      <c r="G467" s="7"/>
      <c r="J467" s="8"/>
      <c r="Z467" s="8"/>
    </row>
    <row r="468" ht="15.75" customHeight="1">
      <c r="G468" s="7"/>
      <c r="J468" s="8"/>
      <c r="Z468" s="8"/>
    </row>
    <row r="469" ht="15.75" customHeight="1">
      <c r="G469" s="7"/>
      <c r="J469" s="8"/>
      <c r="Z469" s="8"/>
    </row>
    <row r="470" ht="15.75" customHeight="1">
      <c r="G470" s="7"/>
      <c r="J470" s="8"/>
      <c r="Z470" s="8"/>
    </row>
    <row r="471" ht="15.75" customHeight="1">
      <c r="G471" s="7"/>
      <c r="J471" s="8"/>
      <c r="Z471" s="8"/>
    </row>
    <row r="472" ht="15.75" customHeight="1">
      <c r="G472" s="7"/>
      <c r="J472" s="8"/>
      <c r="Z472" s="8"/>
    </row>
    <row r="473" ht="15.75" customHeight="1">
      <c r="G473" s="7"/>
      <c r="J473" s="8"/>
      <c r="Z473" s="8"/>
    </row>
    <row r="474" ht="15.75" customHeight="1">
      <c r="G474" s="7"/>
      <c r="J474" s="8"/>
      <c r="Z474" s="8"/>
    </row>
    <row r="475" ht="15.75" customHeight="1">
      <c r="G475" s="7"/>
      <c r="J475" s="8"/>
      <c r="Z475" s="8"/>
    </row>
    <row r="476" ht="15.75" customHeight="1">
      <c r="G476" s="7"/>
      <c r="J476" s="8"/>
      <c r="Z476" s="8"/>
    </row>
    <row r="477" ht="15.75" customHeight="1">
      <c r="G477" s="7"/>
      <c r="J477" s="8"/>
      <c r="Z477" s="8"/>
    </row>
    <row r="478" ht="15.75" customHeight="1">
      <c r="G478" s="7"/>
      <c r="J478" s="8"/>
      <c r="Z478" s="8"/>
    </row>
    <row r="479" ht="15.75" customHeight="1">
      <c r="G479" s="7"/>
      <c r="J479" s="8"/>
      <c r="Z479" s="8"/>
    </row>
    <row r="480" ht="15.75" customHeight="1">
      <c r="G480" s="7"/>
      <c r="J480" s="8"/>
      <c r="Z480" s="8"/>
    </row>
    <row r="481" ht="15.75" customHeight="1">
      <c r="G481" s="7"/>
      <c r="J481" s="8"/>
      <c r="Z481" s="8"/>
    </row>
    <row r="482" ht="15.75" customHeight="1">
      <c r="G482" s="7"/>
      <c r="J482" s="8"/>
      <c r="Z482" s="8"/>
    </row>
    <row r="483" ht="15.75" customHeight="1">
      <c r="G483" s="7"/>
      <c r="J483" s="8"/>
      <c r="Z483" s="8"/>
    </row>
    <row r="484" ht="15.75" customHeight="1">
      <c r="G484" s="7"/>
      <c r="J484" s="8"/>
      <c r="Z484" s="8"/>
    </row>
    <row r="485" ht="15.75" customHeight="1">
      <c r="G485" s="7"/>
      <c r="J485" s="8"/>
      <c r="Z485" s="8"/>
    </row>
    <row r="486" ht="15.75" customHeight="1">
      <c r="G486" s="7"/>
      <c r="J486" s="8"/>
      <c r="Z486" s="8"/>
    </row>
    <row r="487" ht="15.75" customHeight="1">
      <c r="G487" s="7"/>
      <c r="J487" s="8"/>
      <c r="Z487" s="8"/>
    </row>
    <row r="488" ht="15.75" customHeight="1">
      <c r="G488" s="7"/>
      <c r="J488" s="8"/>
      <c r="Z488" s="8"/>
    </row>
    <row r="489" ht="15.75" customHeight="1">
      <c r="G489" s="7"/>
      <c r="J489" s="8"/>
      <c r="Z489" s="8"/>
    </row>
    <row r="490" ht="15.75" customHeight="1">
      <c r="G490" s="7"/>
      <c r="J490" s="8"/>
      <c r="Z490" s="8"/>
    </row>
    <row r="491" ht="15.75" customHeight="1">
      <c r="G491" s="7"/>
      <c r="J491" s="8"/>
      <c r="Z491" s="8"/>
    </row>
    <row r="492" ht="15.75" customHeight="1">
      <c r="G492" s="7"/>
      <c r="J492" s="8"/>
      <c r="Z492" s="8"/>
    </row>
    <row r="493" ht="15.75" customHeight="1">
      <c r="G493" s="7"/>
      <c r="J493" s="8"/>
      <c r="Z493" s="8"/>
    </row>
    <row r="494" ht="15.75" customHeight="1">
      <c r="G494" s="7"/>
      <c r="J494" s="8"/>
      <c r="Z494" s="8"/>
    </row>
    <row r="495" ht="15.75" customHeight="1">
      <c r="G495" s="7"/>
      <c r="J495" s="8"/>
      <c r="Z495" s="8"/>
    </row>
    <row r="496" ht="15.75" customHeight="1">
      <c r="G496" s="7"/>
      <c r="J496" s="8"/>
      <c r="Z496" s="8"/>
    </row>
    <row r="497" ht="15.75" customHeight="1">
      <c r="G497" s="7"/>
      <c r="J497" s="8"/>
      <c r="Z497" s="8"/>
    </row>
    <row r="498" ht="15.75" customHeight="1">
      <c r="G498" s="7"/>
      <c r="J498" s="8"/>
      <c r="Z498" s="8"/>
    </row>
    <row r="499" ht="15.75" customHeight="1">
      <c r="G499" s="7"/>
      <c r="J499" s="8"/>
      <c r="Z499" s="8"/>
    </row>
    <row r="500" ht="15.75" customHeight="1">
      <c r="G500" s="7"/>
      <c r="J500" s="8"/>
      <c r="Z500" s="8"/>
    </row>
    <row r="501" ht="15.75" customHeight="1">
      <c r="G501" s="7"/>
      <c r="J501" s="8"/>
      <c r="Z501" s="8"/>
    </row>
    <row r="502" ht="15.75" customHeight="1">
      <c r="G502" s="7"/>
      <c r="J502" s="8"/>
      <c r="Z502" s="8"/>
    </row>
    <row r="503" ht="15.75" customHeight="1">
      <c r="G503" s="7"/>
      <c r="J503" s="8"/>
      <c r="Z503" s="8"/>
    </row>
    <row r="504" ht="15.75" customHeight="1">
      <c r="G504" s="7"/>
      <c r="J504" s="8"/>
      <c r="Z504" s="8"/>
    </row>
    <row r="505" ht="15.75" customHeight="1">
      <c r="G505" s="7"/>
      <c r="J505" s="8"/>
      <c r="Z505" s="8"/>
    </row>
    <row r="506" ht="15.75" customHeight="1">
      <c r="G506" s="7"/>
      <c r="J506" s="8"/>
      <c r="Z506" s="8"/>
    </row>
    <row r="507" ht="15.75" customHeight="1">
      <c r="G507" s="7"/>
      <c r="J507" s="8"/>
      <c r="Z507" s="8"/>
    </row>
    <row r="508" ht="15.75" customHeight="1">
      <c r="G508" s="7"/>
      <c r="J508" s="8"/>
      <c r="Z508" s="8"/>
    </row>
    <row r="509" ht="15.75" customHeight="1">
      <c r="G509" s="7"/>
      <c r="J509" s="8"/>
      <c r="Z509" s="8"/>
    </row>
    <row r="510" ht="15.75" customHeight="1">
      <c r="G510" s="7"/>
      <c r="J510" s="8"/>
      <c r="Z510" s="8"/>
    </row>
    <row r="511" ht="15.75" customHeight="1">
      <c r="G511" s="7"/>
      <c r="J511" s="8"/>
      <c r="Z511" s="8"/>
    </row>
    <row r="512" ht="15.75" customHeight="1">
      <c r="G512" s="7"/>
      <c r="J512" s="8"/>
      <c r="Z512" s="8"/>
    </row>
    <row r="513" ht="15.75" customHeight="1">
      <c r="G513" s="7"/>
      <c r="J513" s="8"/>
      <c r="Z513" s="8"/>
    </row>
    <row r="514" ht="15.75" customHeight="1">
      <c r="G514" s="7"/>
      <c r="J514" s="8"/>
      <c r="Z514" s="8"/>
    </row>
    <row r="515" ht="15.75" customHeight="1">
      <c r="G515" s="7"/>
      <c r="J515" s="8"/>
      <c r="Z515" s="8"/>
    </row>
    <row r="516" ht="15.75" customHeight="1">
      <c r="G516" s="7"/>
      <c r="J516" s="8"/>
      <c r="Z516" s="8"/>
    </row>
    <row r="517" ht="15.75" customHeight="1">
      <c r="G517" s="7"/>
      <c r="J517" s="8"/>
      <c r="Z517" s="8"/>
    </row>
    <row r="518" ht="15.75" customHeight="1">
      <c r="G518" s="7"/>
      <c r="J518" s="8"/>
      <c r="Z518" s="8"/>
    </row>
    <row r="519" ht="15.75" customHeight="1">
      <c r="G519" s="7"/>
      <c r="J519" s="8"/>
      <c r="Z519" s="8"/>
    </row>
    <row r="520" ht="15.75" customHeight="1">
      <c r="G520" s="7"/>
      <c r="J520" s="8"/>
      <c r="Z520" s="8"/>
    </row>
    <row r="521" ht="15.75" customHeight="1">
      <c r="G521" s="7"/>
      <c r="J521" s="8"/>
      <c r="Z521" s="8"/>
    </row>
    <row r="522" ht="15.75" customHeight="1">
      <c r="G522" s="7"/>
      <c r="J522" s="8"/>
      <c r="Z522" s="8"/>
    </row>
    <row r="523" ht="15.75" customHeight="1">
      <c r="G523" s="7"/>
      <c r="J523" s="8"/>
      <c r="Z523" s="8"/>
    </row>
    <row r="524" ht="15.75" customHeight="1">
      <c r="G524" s="7"/>
      <c r="J524" s="8"/>
      <c r="Z524" s="8"/>
    </row>
    <row r="525" ht="15.75" customHeight="1">
      <c r="G525" s="7"/>
      <c r="J525" s="8"/>
      <c r="Z525" s="8"/>
    </row>
    <row r="526" ht="15.75" customHeight="1">
      <c r="G526" s="7"/>
      <c r="J526" s="8"/>
      <c r="Z526" s="8"/>
    </row>
    <row r="527" ht="15.75" customHeight="1">
      <c r="G527" s="7"/>
      <c r="J527" s="8"/>
      <c r="Z527" s="8"/>
    </row>
    <row r="528" ht="15.75" customHeight="1">
      <c r="G528" s="7"/>
      <c r="J528" s="8"/>
      <c r="Z528" s="8"/>
    </row>
    <row r="529" ht="15.75" customHeight="1">
      <c r="G529" s="7"/>
      <c r="J529" s="8"/>
      <c r="Z529" s="8"/>
    </row>
    <row r="530" ht="15.75" customHeight="1">
      <c r="G530" s="7"/>
      <c r="J530" s="8"/>
      <c r="Z530" s="8"/>
    </row>
    <row r="531" ht="15.75" customHeight="1">
      <c r="G531" s="7"/>
      <c r="J531" s="8"/>
      <c r="Z531" s="8"/>
    </row>
    <row r="532" ht="15.75" customHeight="1">
      <c r="G532" s="7"/>
      <c r="J532" s="8"/>
      <c r="Z532" s="8"/>
    </row>
    <row r="533" ht="15.75" customHeight="1">
      <c r="G533" s="7"/>
      <c r="J533" s="8"/>
      <c r="Z533" s="8"/>
    </row>
    <row r="534" ht="15.75" customHeight="1">
      <c r="G534" s="7"/>
      <c r="J534" s="8"/>
      <c r="Z534" s="8"/>
    </row>
    <row r="535" ht="15.75" customHeight="1">
      <c r="G535" s="7"/>
      <c r="J535" s="8"/>
      <c r="Z535" s="8"/>
    </row>
    <row r="536" ht="15.75" customHeight="1">
      <c r="G536" s="7"/>
      <c r="J536" s="8"/>
      <c r="Z536" s="8"/>
    </row>
    <row r="537" ht="15.75" customHeight="1">
      <c r="G537" s="7"/>
      <c r="J537" s="8"/>
      <c r="Z537" s="8"/>
    </row>
    <row r="538" ht="15.75" customHeight="1">
      <c r="G538" s="7"/>
      <c r="J538" s="8"/>
      <c r="Z538" s="8"/>
    </row>
    <row r="539" ht="15.75" customHeight="1">
      <c r="G539" s="7"/>
      <c r="J539" s="8"/>
      <c r="Z539" s="8"/>
    </row>
    <row r="540" ht="15.75" customHeight="1">
      <c r="G540" s="7"/>
      <c r="J540" s="8"/>
      <c r="Z540" s="8"/>
    </row>
    <row r="541" ht="15.75" customHeight="1">
      <c r="G541" s="7"/>
      <c r="J541" s="8"/>
      <c r="Z541" s="8"/>
    </row>
    <row r="542" ht="15.75" customHeight="1">
      <c r="G542" s="7"/>
      <c r="J542" s="8"/>
      <c r="Z542" s="8"/>
    </row>
    <row r="543" ht="15.75" customHeight="1">
      <c r="G543" s="7"/>
      <c r="J543" s="8"/>
      <c r="Z543" s="8"/>
    </row>
    <row r="544" ht="15.75" customHeight="1">
      <c r="G544" s="7"/>
      <c r="J544" s="8"/>
      <c r="Z544" s="8"/>
    </row>
    <row r="545" ht="15.75" customHeight="1">
      <c r="G545" s="7"/>
      <c r="J545" s="8"/>
      <c r="Z545" s="8"/>
    </row>
    <row r="546" ht="15.75" customHeight="1">
      <c r="G546" s="7"/>
      <c r="J546" s="8"/>
      <c r="Z546" s="8"/>
    </row>
    <row r="547" ht="15.75" customHeight="1">
      <c r="G547" s="7"/>
      <c r="J547" s="8"/>
      <c r="Z547" s="8"/>
    </row>
    <row r="548" ht="15.75" customHeight="1">
      <c r="G548" s="7"/>
      <c r="J548" s="8"/>
      <c r="Z548" s="8"/>
    </row>
    <row r="549" ht="15.75" customHeight="1">
      <c r="G549" s="7"/>
      <c r="J549" s="8"/>
      <c r="Z549" s="8"/>
    </row>
    <row r="550" ht="15.75" customHeight="1">
      <c r="G550" s="7"/>
      <c r="J550" s="8"/>
      <c r="Z550" s="8"/>
    </row>
    <row r="551" ht="15.75" customHeight="1">
      <c r="G551" s="7"/>
      <c r="J551" s="8"/>
      <c r="Z551" s="8"/>
    </row>
    <row r="552" ht="15.75" customHeight="1">
      <c r="G552" s="7"/>
      <c r="J552" s="8"/>
      <c r="Z552" s="8"/>
    </row>
    <row r="553" ht="15.75" customHeight="1">
      <c r="G553" s="7"/>
      <c r="J553" s="8"/>
      <c r="Z553" s="8"/>
    </row>
    <row r="554" ht="15.75" customHeight="1">
      <c r="G554" s="7"/>
      <c r="J554" s="8"/>
      <c r="Z554" s="8"/>
    </row>
    <row r="555" ht="15.75" customHeight="1">
      <c r="G555" s="7"/>
      <c r="J555" s="8"/>
      <c r="Z555" s="8"/>
    </row>
    <row r="556" ht="15.75" customHeight="1">
      <c r="G556" s="7"/>
      <c r="J556" s="8"/>
      <c r="Z556" s="8"/>
    </row>
    <row r="557" ht="15.75" customHeight="1">
      <c r="G557" s="7"/>
      <c r="J557" s="8"/>
      <c r="Z557" s="8"/>
    </row>
    <row r="558" ht="15.75" customHeight="1">
      <c r="G558" s="7"/>
      <c r="J558" s="8"/>
      <c r="Z558" s="8"/>
    </row>
    <row r="559" ht="15.75" customHeight="1">
      <c r="G559" s="7"/>
      <c r="J559" s="8"/>
      <c r="Z559" s="8"/>
    </row>
    <row r="560" ht="15.75" customHeight="1">
      <c r="G560" s="7"/>
      <c r="J560" s="8"/>
      <c r="Z560" s="8"/>
    </row>
    <row r="561" ht="15.75" customHeight="1">
      <c r="G561" s="7"/>
      <c r="J561" s="8"/>
      <c r="Z561" s="8"/>
    </row>
    <row r="562" ht="15.75" customHeight="1">
      <c r="G562" s="7"/>
      <c r="J562" s="8"/>
      <c r="Z562" s="8"/>
    </row>
    <row r="563" ht="15.75" customHeight="1">
      <c r="G563" s="7"/>
      <c r="J563" s="8"/>
      <c r="Z563" s="8"/>
    </row>
    <row r="564" ht="15.75" customHeight="1">
      <c r="G564" s="7"/>
      <c r="J564" s="8"/>
      <c r="Z564" s="8"/>
    </row>
    <row r="565" ht="15.75" customHeight="1">
      <c r="G565" s="7"/>
      <c r="J565" s="8"/>
      <c r="Z565" s="8"/>
    </row>
    <row r="566" ht="15.75" customHeight="1">
      <c r="G566" s="7"/>
      <c r="J566" s="8"/>
      <c r="Z566" s="8"/>
    </row>
    <row r="567" ht="15.75" customHeight="1">
      <c r="G567" s="7"/>
      <c r="J567" s="8"/>
      <c r="Z567" s="8"/>
    </row>
    <row r="568" ht="15.75" customHeight="1">
      <c r="G568" s="7"/>
      <c r="J568" s="8"/>
      <c r="Z568" s="8"/>
    </row>
    <row r="569" ht="15.75" customHeight="1">
      <c r="G569" s="7"/>
      <c r="J569" s="8"/>
      <c r="Z569" s="8"/>
    </row>
    <row r="570" ht="15.75" customHeight="1">
      <c r="G570" s="7"/>
      <c r="J570" s="8"/>
      <c r="Z570" s="8"/>
    </row>
    <row r="571" ht="15.75" customHeight="1">
      <c r="G571" s="7"/>
      <c r="J571" s="8"/>
      <c r="Z571" s="8"/>
    </row>
    <row r="572" ht="15.75" customHeight="1">
      <c r="G572" s="7"/>
      <c r="J572" s="8"/>
      <c r="Z572" s="8"/>
    </row>
    <row r="573" ht="15.75" customHeight="1">
      <c r="G573" s="7"/>
      <c r="J573" s="8"/>
      <c r="Z573" s="8"/>
    </row>
    <row r="574" ht="15.75" customHeight="1">
      <c r="G574" s="7"/>
      <c r="J574" s="8"/>
      <c r="Z574" s="8"/>
    </row>
    <row r="575" ht="15.75" customHeight="1">
      <c r="G575" s="7"/>
      <c r="J575" s="8"/>
      <c r="Z575" s="8"/>
    </row>
    <row r="576" ht="15.75" customHeight="1">
      <c r="G576" s="7"/>
      <c r="J576" s="8"/>
      <c r="Z576" s="8"/>
    </row>
    <row r="577" ht="15.75" customHeight="1">
      <c r="G577" s="7"/>
      <c r="J577" s="8"/>
      <c r="Z577" s="8"/>
    </row>
    <row r="578" ht="15.75" customHeight="1">
      <c r="G578" s="7"/>
      <c r="J578" s="8"/>
      <c r="Z578" s="8"/>
    </row>
    <row r="579" ht="15.75" customHeight="1">
      <c r="G579" s="7"/>
      <c r="J579" s="8"/>
      <c r="Z579" s="8"/>
    </row>
    <row r="580" ht="15.75" customHeight="1">
      <c r="G580" s="7"/>
      <c r="J580" s="8"/>
      <c r="Z580" s="8"/>
    </row>
    <row r="581" ht="15.75" customHeight="1">
      <c r="G581" s="7"/>
      <c r="J581" s="8"/>
      <c r="Z581" s="8"/>
    </row>
    <row r="582" ht="15.75" customHeight="1">
      <c r="G582" s="7"/>
      <c r="J582" s="8"/>
      <c r="Z582" s="8"/>
    </row>
    <row r="583" ht="15.75" customHeight="1">
      <c r="G583" s="7"/>
      <c r="J583" s="8"/>
      <c r="Z583" s="8"/>
    </row>
    <row r="584" ht="15.75" customHeight="1">
      <c r="G584" s="7"/>
      <c r="J584" s="8"/>
      <c r="Z584" s="8"/>
    </row>
    <row r="585" ht="15.75" customHeight="1">
      <c r="G585" s="7"/>
      <c r="J585" s="8"/>
      <c r="Z585" s="8"/>
    </row>
    <row r="586" ht="15.75" customHeight="1">
      <c r="G586" s="7"/>
      <c r="J586" s="8"/>
      <c r="Z586" s="8"/>
    </row>
    <row r="587" ht="15.75" customHeight="1">
      <c r="G587" s="7"/>
      <c r="J587" s="8"/>
      <c r="Z587" s="8"/>
    </row>
    <row r="588" ht="15.75" customHeight="1">
      <c r="G588" s="7"/>
      <c r="J588" s="8"/>
      <c r="Z588" s="8"/>
    </row>
    <row r="589" ht="15.75" customHeight="1">
      <c r="G589" s="7"/>
      <c r="J589" s="8"/>
      <c r="Z589" s="8"/>
    </row>
    <row r="590" ht="15.75" customHeight="1">
      <c r="G590" s="7"/>
      <c r="J590" s="8"/>
      <c r="Z590" s="8"/>
    </row>
    <row r="591" ht="15.75" customHeight="1">
      <c r="G591" s="7"/>
      <c r="J591" s="8"/>
      <c r="Z591" s="8"/>
    </row>
    <row r="592" ht="15.75" customHeight="1">
      <c r="G592" s="7"/>
      <c r="J592" s="8"/>
      <c r="Z592" s="8"/>
    </row>
    <row r="593" ht="15.75" customHeight="1">
      <c r="G593" s="7"/>
      <c r="J593" s="8"/>
      <c r="Z593" s="8"/>
    </row>
    <row r="594" ht="15.75" customHeight="1">
      <c r="G594" s="7"/>
      <c r="J594" s="8"/>
      <c r="Z594" s="8"/>
    </row>
    <row r="595" ht="15.75" customHeight="1">
      <c r="G595" s="7"/>
      <c r="J595" s="8"/>
      <c r="Z595" s="8"/>
    </row>
    <row r="596" ht="15.75" customHeight="1">
      <c r="G596" s="7"/>
      <c r="J596" s="8"/>
      <c r="Z596" s="8"/>
    </row>
    <row r="597" ht="15.75" customHeight="1">
      <c r="G597" s="7"/>
      <c r="J597" s="8"/>
      <c r="Z597" s="8"/>
    </row>
    <row r="598" ht="15.75" customHeight="1">
      <c r="G598" s="7"/>
      <c r="J598" s="8"/>
      <c r="Z598" s="8"/>
    </row>
    <row r="599" ht="15.75" customHeight="1">
      <c r="G599" s="7"/>
      <c r="J599" s="8"/>
      <c r="Z599" s="8"/>
    </row>
    <row r="600" ht="15.75" customHeight="1">
      <c r="G600" s="7"/>
      <c r="J600" s="8"/>
      <c r="Z600" s="8"/>
    </row>
    <row r="601" ht="15.75" customHeight="1">
      <c r="G601" s="7"/>
      <c r="J601" s="8"/>
      <c r="Z601" s="8"/>
    </row>
    <row r="602" ht="15.75" customHeight="1">
      <c r="G602" s="7"/>
      <c r="J602" s="8"/>
      <c r="Z602" s="8"/>
    </row>
    <row r="603" ht="15.75" customHeight="1">
      <c r="G603" s="7"/>
      <c r="J603" s="8"/>
      <c r="Z603" s="8"/>
    </row>
    <row r="604" ht="15.75" customHeight="1">
      <c r="G604" s="7"/>
      <c r="J604" s="8"/>
      <c r="Z604" s="8"/>
    </row>
    <row r="605" ht="15.75" customHeight="1">
      <c r="G605" s="7"/>
      <c r="J605" s="8"/>
      <c r="Z605" s="8"/>
    </row>
    <row r="606" ht="15.75" customHeight="1">
      <c r="G606" s="7"/>
      <c r="J606" s="8"/>
      <c r="Z606" s="8"/>
    </row>
    <row r="607" ht="15.75" customHeight="1">
      <c r="G607" s="7"/>
      <c r="J607" s="8"/>
      <c r="Z607" s="8"/>
    </row>
    <row r="608" ht="15.75" customHeight="1">
      <c r="G608" s="7"/>
      <c r="J608" s="8"/>
      <c r="Z608" s="8"/>
    </row>
    <row r="609" ht="15.75" customHeight="1">
      <c r="G609" s="7"/>
      <c r="J609" s="8"/>
      <c r="Z609" s="8"/>
    </row>
    <row r="610" ht="15.75" customHeight="1">
      <c r="G610" s="7"/>
      <c r="J610" s="8"/>
      <c r="Z610" s="8"/>
    </row>
    <row r="611" ht="15.75" customHeight="1">
      <c r="G611" s="7"/>
      <c r="J611" s="8"/>
      <c r="Z611" s="8"/>
    </row>
    <row r="612" ht="15.75" customHeight="1">
      <c r="G612" s="7"/>
      <c r="J612" s="8"/>
      <c r="Z612" s="8"/>
    </row>
    <row r="613" ht="15.75" customHeight="1">
      <c r="G613" s="7"/>
      <c r="J613" s="8"/>
      <c r="Z613" s="8"/>
    </row>
    <row r="614" ht="15.75" customHeight="1">
      <c r="G614" s="7"/>
      <c r="J614" s="8"/>
      <c r="Z614" s="8"/>
    </row>
    <row r="615" ht="15.75" customHeight="1">
      <c r="G615" s="7"/>
      <c r="J615" s="8"/>
      <c r="Z615" s="8"/>
    </row>
    <row r="616" ht="15.75" customHeight="1">
      <c r="G616" s="7"/>
      <c r="J616" s="8"/>
      <c r="Z616" s="8"/>
    </row>
    <row r="617" ht="15.75" customHeight="1">
      <c r="G617" s="7"/>
      <c r="J617" s="8"/>
      <c r="Z617" s="8"/>
    </row>
    <row r="618" ht="15.75" customHeight="1">
      <c r="G618" s="7"/>
      <c r="J618" s="8"/>
      <c r="Z618" s="8"/>
    </row>
    <row r="619" ht="15.75" customHeight="1">
      <c r="G619" s="7"/>
      <c r="J619" s="8"/>
      <c r="Z619" s="8"/>
    </row>
    <row r="620" ht="15.75" customHeight="1">
      <c r="G620" s="7"/>
      <c r="J620" s="8"/>
      <c r="Z620" s="8"/>
    </row>
    <row r="621" ht="15.75" customHeight="1">
      <c r="G621" s="7"/>
      <c r="J621" s="8"/>
      <c r="Z621" s="8"/>
    </row>
    <row r="622" ht="15.75" customHeight="1">
      <c r="G622" s="7"/>
      <c r="J622" s="8"/>
      <c r="Z622" s="8"/>
    </row>
    <row r="623" ht="15.75" customHeight="1">
      <c r="G623" s="7"/>
      <c r="J623" s="8"/>
      <c r="Z623" s="8"/>
    </row>
    <row r="624" ht="15.75" customHeight="1">
      <c r="G624" s="7"/>
      <c r="J624" s="8"/>
      <c r="Z624" s="8"/>
    </row>
    <row r="625" ht="15.75" customHeight="1">
      <c r="G625" s="7"/>
      <c r="J625" s="8"/>
      <c r="Z625" s="8"/>
    </row>
    <row r="626" ht="15.75" customHeight="1">
      <c r="G626" s="7"/>
      <c r="J626" s="8"/>
      <c r="Z626" s="8"/>
    </row>
    <row r="627" ht="15.75" customHeight="1">
      <c r="G627" s="7"/>
      <c r="J627" s="8"/>
      <c r="Z627" s="8"/>
    </row>
    <row r="628" ht="15.75" customHeight="1">
      <c r="G628" s="7"/>
      <c r="J628" s="8"/>
      <c r="Z628" s="8"/>
    </row>
    <row r="629" ht="15.75" customHeight="1">
      <c r="G629" s="7"/>
      <c r="J629" s="8"/>
      <c r="Z629" s="8"/>
    </row>
    <row r="630" ht="15.75" customHeight="1">
      <c r="G630" s="7"/>
      <c r="J630" s="8"/>
      <c r="Z630" s="8"/>
    </row>
    <row r="631" ht="15.75" customHeight="1">
      <c r="G631" s="7"/>
      <c r="J631" s="8"/>
      <c r="Z631" s="8"/>
    </row>
    <row r="632" ht="15.75" customHeight="1">
      <c r="G632" s="7"/>
      <c r="J632" s="8"/>
      <c r="Z632" s="8"/>
    </row>
    <row r="633" ht="15.75" customHeight="1">
      <c r="G633" s="7"/>
      <c r="J633" s="8"/>
      <c r="Z633" s="8"/>
    </row>
    <row r="634" ht="15.75" customHeight="1">
      <c r="G634" s="7"/>
      <c r="J634" s="8"/>
      <c r="Z634" s="8"/>
    </row>
    <row r="635" ht="15.75" customHeight="1">
      <c r="G635" s="7"/>
      <c r="J635" s="8"/>
      <c r="Z635" s="8"/>
    </row>
    <row r="636" ht="15.75" customHeight="1">
      <c r="G636" s="7"/>
      <c r="J636" s="8"/>
      <c r="Z636" s="8"/>
    </row>
    <row r="637" ht="15.75" customHeight="1">
      <c r="G637" s="7"/>
      <c r="J637" s="8"/>
      <c r="Z637" s="8"/>
    </row>
    <row r="638" ht="15.75" customHeight="1">
      <c r="G638" s="7"/>
      <c r="J638" s="8"/>
      <c r="Z638" s="8"/>
    </row>
    <row r="639" ht="15.75" customHeight="1">
      <c r="G639" s="7"/>
      <c r="J639" s="8"/>
      <c r="Z639" s="8"/>
    </row>
    <row r="640" ht="15.75" customHeight="1">
      <c r="G640" s="7"/>
      <c r="J640" s="8"/>
      <c r="Z640" s="8"/>
    </row>
    <row r="641" ht="15.75" customHeight="1">
      <c r="G641" s="7"/>
      <c r="J641" s="8"/>
      <c r="Z641" s="8"/>
    </row>
    <row r="642" ht="15.75" customHeight="1">
      <c r="G642" s="7"/>
      <c r="J642" s="8"/>
      <c r="Z642" s="8"/>
    </row>
    <row r="643" ht="15.75" customHeight="1">
      <c r="G643" s="7"/>
      <c r="J643" s="8"/>
      <c r="Z643" s="8"/>
    </row>
    <row r="644" ht="15.75" customHeight="1">
      <c r="G644" s="7"/>
      <c r="J644" s="8"/>
      <c r="Z644" s="8"/>
    </row>
    <row r="645" ht="15.75" customHeight="1">
      <c r="G645" s="7"/>
      <c r="J645" s="8"/>
      <c r="Z645" s="8"/>
    </row>
    <row r="646" ht="15.75" customHeight="1">
      <c r="G646" s="7"/>
      <c r="J646" s="8"/>
      <c r="Z646" s="8"/>
    </row>
    <row r="647" ht="15.75" customHeight="1">
      <c r="G647" s="7"/>
      <c r="J647" s="8"/>
      <c r="Z647" s="8"/>
    </row>
    <row r="648" ht="15.75" customHeight="1">
      <c r="G648" s="7"/>
      <c r="J648" s="8"/>
      <c r="Z648" s="8"/>
    </row>
    <row r="649" ht="15.75" customHeight="1">
      <c r="G649" s="7"/>
      <c r="J649" s="8"/>
      <c r="Z649" s="8"/>
    </row>
    <row r="650" ht="15.75" customHeight="1">
      <c r="G650" s="7"/>
      <c r="J650" s="8"/>
      <c r="Z650" s="8"/>
    </row>
    <row r="651" ht="15.75" customHeight="1">
      <c r="G651" s="7"/>
      <c r="J651" s="8"/>
      <c r="Z651" s="8"/>
    </row>
    <row r="652" ht="15.75" customHeight="1">
      <c r="G652" s="7"/>
      <c r="J652" s="8"/>
      <c r="Z652" s="8"/>
    </row>
    <row r="653" ht="15.75" customHeight="1">
      <c r="G653" s="7"/>
      <c r="J653" s="8"/>
      <c r="Z653" s="8"/>
    </row>
    <row r="654" ht="15.75" customHeight="1">
      <c r="G654" s="7"/>
      <c r="J654" s="8"/>
      <c r="Z654" s="8"/>
    </row>
    <row r="655" ht="15.75" customHeight="1">
      <c r="G655" s="7"/>
      <c r="J655" s="8"/>
      <c r="Z655" s="8"/>
    </row>
    <row r="656" ht="15.75" customHeight="1">
      <c r="G656" s="7"/>
      <c r="J656" s="8"/>
      <c r="Z656" s="8"/>
    </row>
    <row r="657" ht="15.75" customHeight="1">
      <c r="G657" s="7"/>
      <c r="J657" s="8"/>
      <c r="Z657" s="8"/>
    </row>
    <row r="658" ht="15.75" customHeight="1">
      <c r="G658" s="7"/>
      <c r="J658" s="8"/>
      <c r="Z658" s="8"/>
    </row>
    <row r="659" ht="15.75" customHeight="1">
      <c r="G659" s="7"/>
      <c r="J659" s="8"/>
      <c r="Z659" s="8"/>
    </row>
    <row r="660" ht="15.75" customHeight="1">
      <c r="G660" s="7"/>
      <c r="J660" s="8"/>
      <c r="Z660" s="8"/>
    </row>
    <row r="661" ht="15.75" customHeight="1">
      <c r="G661" s="7"/>
      <c r="J661" s="8"/>
      <c r="Z661" s="8"/>
    </row>
    <row r="662" ht="15.75" customHeight="1">
      <c r="G662" s="7"/>
      <c r="J662" s="8"/>
      <c r="Z662" s="8"/>
    </row>
    <row r="663" ht="15.75" customHeight="1">
      <c r="G663" s="7"/>
      <c r="J663" s="8"/>
      <c r="Z663" s="8"/>
    </row>
    <row r="664" ht="15.75" customHeight="1">
      <c r="G664" s="7"/>
      <c r="J664" s="8"/>
      <c r="Z664" s="8"/>
    </row>
    <row r="665" ht="15.75" customHeight="1">
      <c r="G665" s="7"/>
      <c r="J665" s="8"/>
      <c r="Z665" s="8"/>
    </row>
    <row r="666" ht="15.75" customHeight="1">
      <c r="G666" s="7"/>
      <c r="J666" s="8"/>
      <c r="Z666" s="8"/>
    </row>
    <row r="667" ht="15.75" customHeight="1">
      <c r="G667" s="7"/>
      <c r="J667" s="8"/>
      <c r="Z667" s="8"/>
    </row>
    <row r="668" ht="15.75" customHeight="1">
      <c r="G668" s="7"/>
      <c r="J668" s="8"/>
      <c r="Z668" s="8"/>
    </row>
    <row r="669" ht="15.75" customHeight="1">
      <c r="G669" s="7"/>
      <c r="J669" s="8"/>
      <c r="Z669" s="8"/>
    </row>
    <row r="670" ht="15.75" customHeight="1">
      <c r="G670" s="7"/>
      <c r="J670" s="8"/>
      <c r="Z670" s="8"/>
    </row>
    <row r="671" ht="15.75" customHeight="1">
      <c r="G671" s="7"/>
      <c r="J671" s="8"/>
      <c r="Z671" s="8"/>
    </row>
    <row r="672" ht="15.75" customHeight="1">
      <c r="G672" s="7"/>
      <c r="J672" s="8"/>
      <c r="Z672" s="8"/>
    </row>
    <row r="673" ht="15.75" customHeight="1">
      <c r="G673" s="7"/>
      <c r="J673" s="8"/>
      <c r="Z673" s="8"/>
    </row>
    <row r="674" ht="15.75" customHeight="1">
      <c r="G674" s="7"/>
      <c r="J674" s="8"/>
      <c r="Z674" s="8"/>
    </row>
    <row r="675" ht="15.75" customHeight="1">
      <c r="G675" s="7"/>
      <c r="J675" s="8"/>
      <c r="Z675" s="8"/>
    </row>
    <row r="676" ht="15.75" customHeight="1">
      <c r="G676" s="7"/>
      <c r="J676" s="8"/>
      <c r="Z676" s="8"/>
    </row>
    <row r="677" ht="15.75" customHeight="1">
      <c r="G677" s="7"/>
      <c r="J677" s="8"/>
      <c r="Z677" s="8"/>
    </row>
    <row r="678" ht="15.75" customHeight="1">
      <c r="G678" s="7"/>
      <c r="J678" s="8"/>
      <c r="Z678" s="8"/>
    </row>
    <row r="679" ht="15.75" customHeight="1">
      <c r="G679" s="7"/>
      <c r="J679" s="8"/>
      <c r="Z679" s="8"/>
    </row>
    <row r="680" ht="15.75" customHeight="1">
      <c r="G680" s="7"/>
      <c r="J680" s="8"/>
      <c r="Z680" s="8"/>
    </row>
    <row r="681" ht="15.75" customHeight="1">
      <c r="G681" s="7"/>
      <c r="J681" s="8"/>
      <c r="Z681" s="8"/>
    </row>
    <row r="682" ht="15.75" customHeight="1">
      <c r="G682" s="7"/>
      <c r="J682" s="8"/>
      <c r="Z682" s="8"/>
    </row>
    <row r="683" ht="15.75" customHeight="1">
      <c r="G683" s="7"/>
      <c r="J683" s="8"/>
      <c r="Z683" s="8"/>
    </row>
    <row r="684" ht="15.75" customHeight="1">
      <c r="G684" s="7"/>
      <c r="J684" s="8"/>
      <c r="Z684" s="8"/>
    </row>
    <row r="685" ht="15.75" customHeight="1">
      <c r="G685" s="7"/>
      <c r="J685" s="8"/>
      <c r="Z685" s="8"/>
    </row>
    <row r="686" ht="15.75" customHeight="1">
      <c r="G686" s="7"/>
      <c r="J686" s="8"/>
      <c r="Z686" s="8"/>
    </row>
    <row r="687" ht="15.75" customHeight="1">
      <c r="G687" s="7"/>
      <c r="J687" s="8"/>
      <c r="Z687" s="8"/>
    </row>
    <row r="688" ht="15.75" customHeight="1">
      <c r="G688" s="7"/>
      <c r="J688" s="8"/>
      <c r="Z688" s="8"/>
    </row>
    <row r="689" ht="15.75" customHeight="1">
      <c r="G689" s="7"/>
      <c r="J689" s="8"/>
      <c r="Z689" s="8"/>
    </row>
    <row r="690" ht="15.75" customHeight="1">
      <c r="G690" s="7"/>
      <c r="J690" s="8"/>
      <c r="Z690" s="8"/>
    </row>
    <row r="691" ht="15.75" customHeight="1">
      <c r="G691" s="7"/>
      <c r="J691" s="8"/>
      <c r="Z691" s="8"/>
    </row>
    <row r="692" ht="15.75" customHeight="1">
      <c r="G692" s="7"/>
      <c r="J692" s="8"/>
      <c r="Z692" s="8"/>
    </row>
    <row r="693" ht="15.75" customHeight="1">
      <c r="G693" s="7"/>
      <c r="J693" s="8"/>
      <c r="Z693" s="8"/>
    </row>
    <row r="694" ht="15.75" customHeight="1">
      <c r="G694" s="7"/>
      <c r="J694" s="8"/>
      <c r="Z694" s="8"/>
    </row>
    <row r="695" ht="15.75" customHeight="1">
      <c r="G695" s="7"/>
      <c r="J695" s="8"/>
      <c r="Z695" s="8"/>
    </row>
    <row r="696" ht="15.75" customHeight="1">
      <c r="G696" s="7"/>
      <c r="J696" s="8"/>
      <c r="Z696" s="8"/>
    </row>
    <row r="697" ht="15.75" customHeight="1">
      <c r="G697" s="7"/>
      <c r="J697" s="8"/>
      <c r="Z697" s="8"/>
    </row>
    <row r="698" ht="15.75" customHeight="1">
      <c r="G698" s="7"/>
      <c r="J698" s="8"/>
      <c r="Z698" s="8"/>
    </row>
    <row r="699" ht="15.75" customHeight="1">
      <c r="G699" s="7"/>
      <c r="J699" s="8"/>
      <c r="Z699" s="8"/>
    </row>
    <row r="700" ht="15.75" customHeight="1">
      <c r="G700" s="7"/>
      <c r="J700" s="8"/>
      <c r="Z700" s="8"/>
    </row>
    <row r="701" ht="15.75" customHeight="1">
      <c r="G701" s="7"/>
      <c r="J701" s="8"/>
      <c r="Z701" s="8"/>
    </row>
    <row r="702" ht="15.75" customHeight="1">
      <c r="G702" s="7"/>
      <c r="J702" s="8"/>
      <c r="Z702" s="8"/>
    </row>
    <row r="703" ht="15.75" customHeight="1">
      <c r="G703" s="7"/>
      <c r="J703" s="8"/>
      <c r="Z703" s="8"/>
    </row>
    <row r="704" ht="15.75" customHeight="1">
      <c r="G704" s="7"/>
      <c r="J704" s="8"/>
      <c r="Z704" s="8"/>
    </row>
    <row r="705" ht="15.75" customHeight="1">
      <c r="G705" s="7"/>
      <c r="J705" s="8"/>
      <c r="Z705" s="8"/>
    </row>
    <row r="706" ht="15.75" customHeight="1">
      <c r="G706" s="7"/>
      <c r="J706" s="8"/>
      <c r="Z706" s="8"/>
    </row>
    <row r="707" ht="15.75" customHeight="1">
      <c r="G707" s="7"/>
      <c r="J707" s="8"/>
      <c r="Z707" s="8"/>
    </row>
    <row r="708" ht="15.75" customHeight="1">
      <c r="G708" s="7"/>
      <c r="J708" s="8"/>
      <c r="Z708" s="8"/>
    </row>
    <row r="709" ht="15.75" customHeight="1">
      <c r="G709" s="7"/>
      <c r="J709" s="8"/>
      <c r="Z709" s="8"/>
    </row>
    <row r="710" ht="15.75" customHeight="1">
      <c r="G710" s="7"/>
      <c r="J710" s="8"/>
      <c r="Z710" s="8"/>
    </row>
    <row r="711" ht="15.75" customHeight="1">
      <c r="G711" s="7"/>
      <c r="J711" s="8"/>
      <c r="Z711" s="8"/>
    </row>
    <row r="712" ht="15.75" customHeight="1">
      <c r="G712" s="7"/>
      <c r="J712" s="8"/>
      <c r="Z712" s="8"/>
    </row>
    <row r="713" ht="15.75" customHeight="1">
      <c r="G713" s="7"/>
      <c r="J713" s="8"/>
      <c r="Z713" s="8"/>
    </row>
    <row r="714" ht="15.75" customHeight="1">
      <c r="G714" s="7"/>
      <c r="J714" s="8"/>
      <c r="Z714" s="8"/>
    </row>
    <row r="715" ht="15.75" customHeight="1">
      <c r="G715" s="7"/>
      <c r="J715" s="8"/>
      <c r="Z715" s="8"/>
    </row>
    <row r="716" ht="15.75" customHeight="1">
      <c r="G716" s="7"/>
      <c r="J716" s="8"/>
      <c r="Z716" s="8"/>
    </row>
    <row r="717" ht="15.75" customHeight="1">
      <c r="G717" s="7"/>
      <c r="J717" s="8"/>
      <c r="Z717" s="8"/>
    </row>
    <row r="718" ht="15.75" customHeight="1">
      <c r="G718" s="7"/>
      <c r="J718" s="8"/>
      <c r="Z718" s="8"/>
    </row>
    <row r="719" ht="15.75" customHeight="1">
      <c r="G719" s="7"/>
      <c r="J719" s="8"/>
      <c r="Z719" s="8"/>
    </row>
    <row r="720" ht="15.75" customHeight="1">
      <c r="G720" s="7"/>
      <c r="J720" s="8"/>
      <c r="Z720" s="8"/>
    </row>
    <row r="721" ht="15.75" customHeight="1">
      <c r="G721" s="7"/>
      <c r="J721" s="8"/>
      <c r="Z721" s="8"/>
    </row>
    <row r="722" ht="15.75" customHeight="1">
      <c r="G722" s="7"/>
      <c r="J722" s="8"/>
      <c r="Z722" s="8"/>
    </row>
    <row r="723" ht="15.75" customHeight="1">
      <c r="G723" s="7"/>
      <c r="J723" s="8"/>
      <c r="Z723" s="8"/>
    </row>
    <row r="724" ht="15.75" customHeight="1">
      <c r="G724" s="7"/>
      <c r="J724" s="8"/>
      <c r="Z724" s="8"/>
    </row>
    <row r="725" ht="15.75" customHeight="1">
      <c r="G725" s="7"/>
      <c r="J725" s="8"/>
      <c r="Z725" s="8"/>
    </row>
    <row r="726" ht="15.75" customHeight="1">
      <c r="G726" s="7"/>
      <c r="J726" s="8"/>
      <c r="Z726" s="8"/>
    </row>
    <row r="727" ht="15.75" customHeight="1">
      <c r="G727" s="7"/>
      <c r="J727" s="8"/>
      <c r="Z727" s="8"/>
    </row>
    <row r="728" ht="15.75" customHeight="1">
      <c r="G728" s="7"/>
      <c r="J728" s="8"/>
      <c r="Z728" s="8"/>
    </row>
    <row r="729" ht="15.75" customHeight="1">
      <c r="G729" s="7"/>
      <c r="J729" s="8"/>
      <c r="Z729" s="8"/>
    </row>
    <row r="730" ht="15.75" customHeight="1">
      <c r="G730" s="7"/>
      <c r="J730" s="8"/>
      <c r="Z730" s="8"/>
    </row>
    <row r="731" ht="15.75" customHeight="1">
      <c r="G731" s="7"/>
      <c r="J731" s="8"/>
      <c r="Z731" s="8"/>
    </row>
    <row r="732" ht="15.75" customHeight="1">
      <c r="G732" s="7"/>
      <c r="J732" s="8"/>
      <c r="Z732" s="8"/>
    </row>
    <row r="733" ht="15.75" customHeight="1">
      <c r="G733" s="7"/>
      <c r="J733" s="8"/>
      <c r="Z733" s="8"/>
    </row>
    <row r="734" ht="15.75" customHeight="1">
      <c r="G734" s="7"/>
      <c r="J734" s="8"/>
      <c r="Z734" s="8"/>
    </row>
    <row r="735" ht="15.75" customHeight="1">
      <c r="G735" s="7"/>
      <c r="J735" s="8"/>
      <c r="Z735" s="8"/>
    </row>
    <row r="736" ht="15.75" customHeight="1">
      <c r="G736" s="7"/>
      <c r="J736" s="8"/>
      <c r="Z736" s="8"/>
    </row>
    <row r="737" ht="15.75" customHeight="1">
      <c r="G737" s="7"/>
      <c r="J737" s="8"/>
      <c r="Z737" s="8"/>
    </row>
    <row r="738" ht="15.75" customHeight="1">
      <c r="G738" s="7"/>
      <c r="J738" s="8"/>
      <c r="Z738" s="8"/>
    </row>
    <row r="739" ht="15.75" customHeight="1">
      <c r="G739" s="7"/>
      <c r="J739" s="8"/>
      <c r="Z739" s="8"/>
    </row>
    <row r="740" ht="15.75" customHeight="1">
      <c r="G740" s="7"/>
      <c r="J740" s="8"/>
      <c r="Z740" s="8"/>
    </row>
    <row r="741" ht="15.75" customHeight="1">
      <c r="G741" s="7"/>
      <c r="J741" s="8"/>
      <c r="Z741" s="8"/>
    </row>
    <row r="742" ht="15.75" customHeight="1">
      <c r="G742" s="7"/>
      <c r="J742" s="8"/>
      <c r="Z742" s="8"/>
    </row>
    <row r="743" ht="15.75" customHeight="1">
      <c r="G743" s="7"/>
      <c r="J743" s="8"/>
      <c r="Z743" s="8"/>
    </row>
    <row r="744" ht="15.75" customHeight="1">
      <c r="G744" s="7"/>
      <c r="J744" s="8"/>
      <c r="Z744" s="8"/>
    </row>
    <row r="745" ht="15.75" customHeight="1">
      <c r="G745" s="7"/>
      <c r="J745" s="8"/>
      <c r="Z745" s="8"/>
    </row>
    <row r="746" ht="15.75" customHeight="1">
      <c r="G746" s="7"/>
      <c r="J746" s="8"/>
      <c r="Z746" s="8"/>
    </row>
    <row r="747" ht="15.75" customHeight="1">
      <c r="G747" s="7"/>
      <c r="J747" s="8"/>
      <c r="Z747" s="8"/>
    </row>
    <row r="748" ht="15.75" customHeight="1">
      <c r="G748" s="7"/>
      <c r="J748" s="8"/>
      <c r="Z748" s="8"/>
    </row>
    <row r="749" ht="15.75" customHeight="1">
      <c r="G749" s="7"/>
      <c r="J749" s="8"/>
      <c r="Z749" s="8"/>
    </row>
    <row r="750" ht="15.75" customHeight="1">
      <c r="G750" s="7"/>
      <c r="J750" s="8"/>
      <c r="Z750" s="8"/>
    </row>
    <row r="751" ht="15.75" customHeight="1">
      <c r="G751" s="7"/>
      <c r="J751" s="8"/>
      <c r="Z751" s="8"/>
    </row>
    <row r="752" ht="15.75" customHeight="1">
      <c r="G752" s="7"/>
      <c r="J752" s="8"/>
      <c r="Z752" s="8"/>
    </row>
    <row r="753" ht="15.75" customHeight="1">
      <c r="G753" s="7"/>
      <c r="J753" s="8"/>
      <c r="Z753" s="8"/>
    </row>
    <row r="754" ht="15.75" customHeight="1">
      <c r="G754" s="7"/>
      <c r="J754" s="8"/>
      <c r="Z754" s="8"/>
    </row>
    <row r="755" ht="15.75" customHeight="1">
      <c r="G755" s="7"/>
      <c r="J755" s="8"/>
      <c r="Z755" s="8"/>
    </row>
    <row r="756" ht="15.75" customHeight="1">
      <c r="G756" s="7"/>
      <c r="J756" s="8"/>
      <c r="Z756" s="8"/>
    </row>
    <row r="757" ht="15.75" customHeight="1">
      <c r="G757" s="7"/>
      <c r="J757" s="8"/>
      <c r="Z757" s="8"/>
    </row>
    <row r="758" ht="15.75" customHeight="1">
      <c r="G758" s="7"/>
      <c r="J758" s="8"/>
      <c r="Z758" s="8"/>
    </row>
    <row r="759" ht="15.75" customHeight="1">
      <c r="G759" s="7"/>
      <c r="J759" s="8"/>
      <c r="Z759" s="8"/>
    </row>
    <row r="760" ht="15.75" customHeight="1">
      <c r="G760" s="7"/>
      <c r="J760" s="8"/>
      <c r="Z760" s="8"/>
    </row>
    <row r="761" ht="15.75" customHeight="1">
      <c r="G761" s="7"/>
      <c r="J761" s="8"/>
      <c r="Z761" s="8"/>
    </row>
    <row r="762" ht="15.75" customHeight="1">
      <c r="G762" s="7"/>
      <c r="J762" s="8"/>
      <c r="Z762" s="8"/>
    </row>
    <row r="763" ht="15.75" customHeight="1">
      <c r="G763" s="7"/>
      <c r="J763" s="8"/>
      <c r="Z763" s="8"/>
    </row>
    <row r="764" ht="15.75" customHeight="1">
      <c r="G764" s="7"/>
      <c r="J764" s="8"/>
      <c r="Z764" s="8"/>
    </row>
    <row r="765" ht="15.75" customHeight="1">
      <c r="G765" s="7"/>
      <c r="J765" s="8"/>
      <c r="Z765" s="8"/>
    </row>
    <row r="766" ht="15.75" customHeight="1">
      <c r="G766" s="7"/>
      <c r="J766" s="8"/>
      <c r="Z766" s="8"/>
    </row>
    <row r="767" ht="15.75" customHeight="1">
      <c r="G767" s="7"/>
      <c r="J767" s="8"/>
      <c r="Z767" s="8"/>
    </row>
    <row r="768" ht="15.75" customHeight="1">
      <c r="G768" s="7"/>
      <c r="J768" s="8"/>
      <c r="Z768" s="8"/>
    </row>
    <row r="769" ht="15.75" customHeight="1">
      <c r="G769" s="7"/>
      <c r="J769" s="8"/>
      <c r="Z769" s="8"/>
    </row>
    <row r="770" ht="15.75" customHeight="1">
      <c r="G770" s="7"/>
      <c r="J770" s="8"/>
      <c r="Z770" s="8"/>
    </row>
    <row r="771" ht="15.75" customHeight="1">
      <c r="G771" s="7"/>
      <c r="J771" s="8"/>
      <c r="Z771" s="8"/>
    </row>
    <row r="772" ht="15.75" customHeight="1">
      <c r="G772" s="7"/>
      <c r="J772" s="8"/>
      <c r="Z772" s="8"/>
    </row>
    <row r="773" ht="15.75" customHeight="1">
      <c r="G773" s="7"/>
      <c r="J773" s="8"/>
      <c r="Z773" s="8"/>
    </row>
    <row r="774" ht="15.75" customHeight="1">
      <c r="G774" s="7"/>
      <c r="J774" s="8"/>
      <c r="Z774" s="8"/>
    </row>
    <row r="775" ht="15.75" customHeight="1">
      <c r="G775" s="7"/>
      <c r="J775" s="8"/>
      <c r="Z775" s="8"/>
    </row>
    <row r="776" ht="15.75" customHeight="1">
      <c r="G776" s="7"/>
      <c r="J776" s="8"/>
      <c r="Z776" s="8"/>
    </row>
    <row r="777" ht="15.75" customHeight="1">
      <c r="G777" s="7"/>
      <c r="J777" s="8"/>
      <c r="Z777" s="8"/>
    </row>
    <row r="778" ht="15.75" customHeight="1">
      <c r="G778" s="7"/>
      <c r="J778" s="8"/>
      <c r="Z778" s="8"/>
    </row>
    <row r="779" ht="15.75" customHeight="1">
      <c r="G779" s="7"/>
      <c r="J779" s="8"/>
      <c r="Z779" s="8"/>
    </row>
    <row r="780" ht="15.75" customHeight="1">
      <c r="G780" s="7"/>
      <c r="J780" s="8"/>
      <c r="Z780" s="8"/>
    </row>
    <row r="781" ht="15.75" customHeight="1">
      <c r="G781" s="7"/>
      <c r="J781" s="8"/>
      <c r="Z781" s="8"/>
    </row>
    <row r="782" ht="15.75" customHeight="1">
      <c r="G782" s="7"/>
      <c r="J782" s="8"/>
      <c r="Z782" s="8"/>
    </row>
    <row r="783" ht="15.75" customHeight="1">
      <c r="G783" s="7"/>
      <c r="J783" s="8"/>
      <c r="Z783" s="8"/>
    </row>
    <row r="784" ht="15.75" customHeight="1">
      <c r="G784" s="7"/>
      <c r="J784" s="8"/>
      <c r="Z784" s="8"/>
    </row>
    <row r="785" ht="15.75" customHeight="1">
      <c r="G785" s="7"/>
      <c r="J785" s="8"/>
      <c r="Z785" s="8"/>
    </row>
    <row r="786" ht="15.75" customHeight="1">
      <c r="G786" s="7"/>
      <c r="J786" s="8"/>
      <c r="Z786" s="8"/>
    </row>
    <row r="787" ht="15.75" customHeight="1">
      <c r="G787" s="7"/>
      <c r="J787" s="8"/>
      <c r="Z787" s="8"/>
    </row>
    <row r="788" ht="15.75" customHeight="1">
      <c r="G788" s="7"/>
      <c r="J788" s="8"/>
      <c r="Z788" s="8"/>
    </row>
    <row r="789" ht="15.75" customHeight="1">
      <c r="G789" s="7"/>
      <c r="J789" s="8"/>
      <c r="Z789" s="8"/>
    </row>
    <row r="790" ht="15.75" customHeight="1">
      <c r="G790" s="7"/>
      <c r="J790" s="8"/>
      <c r="Z790" s="8"/>
    </row>
    <row r="791" ht="15.75" customHeight="1">
      <c r="G791" s="7"/>
      <c r="J791" s="8"/>
      <c r="Z791" s="8"/>
    </row>
    <row r="792" ht="15.75" customHeight="1">
      <c r="G792" s="7"/>
      <c r="J792" s="8"/>
      <c r="Z792" s="8"/>
    </row>
    <row r="793" ht="15.75" customHeight="1">
      <c r="G793" s="7"/>
      <c r="J793" s="8"/>
      <c r="Z793" s="8"/>
    </row>
    <row r="794" ht="15.75" customHeight="1">
      <c r="G794" s="7"/>
      <c r="J794" s="8"/>
      <c r="Z794" s="8"/>
    </row>
    <row r="795" ht="15.75" customHeight="1">
      <c r="G795" s="7"/>
      <c r="J795" s="8"/>
      <c r="Z795" s="8"/>
    </row>
    <row r="796" ht="15.75" customHeight="1">
      <c r="G796" s="7"/>
      <c r="J796" s="8"/>
      <c r="Z796" s="8"/>
    </row>
    <row r="797" ht="15.75" customHeight="1">
      <c r="G797" s="7"/>
      <c r="J797" s="8"/>
      <c r="Z797" s="8"/>
    </row>
    <row r="798" ht="15.75" customHeight="1">
      <c r="G798" s="7"/>
      <c r="J798" s="8"/>
      <c r="Z798" s="8"/>
    </row>
    <row r="799" ht="15.75" customHeight="1">
      <c r="G799" s="7"/>
      <c r="J799" s="8"/>
      <c r="Z799" s="8"/>
    </row>
    <row r="800" ht="15.75" customHeight="1">
      <c r="G800" s="7"/>
      <c r="J800" s="8"/>
      <c r="Z800" s="8"/>
    </row>
    <row r="801" ht="15.75" customHeight="1">
      <c r="G801" s="7"/>
      <c r="J801" s="8"/>
      <c r="Z801" s="8"/>
    </row>
    <row r="802" ht="15.75" customHeight="1">
      <c r="G802" s="7"/>
      <c r="J802" s="8"/>
      <c r="Z802" s="8"/>
    </row>
    <row r="803" ht="15.75" customHeight="1">
      <c r="G803" s="7"/>
      <c r="J803" s="8"/>
      <c r="Z803" s="8"/>
    </row>
    <row r="804" ht="15.75" customHeight="1">
      <c r="G804" s="7"/>
      <c r="J804" s="8"/>
      <c r="Z804" s="8"/>
    </row>
    <row r="805" ht="15.75" customHeight="1">
      <c r="G805" s="7"/>
      <c r="J805" s="8"/>
      <c r="Z805" s="8"/>
    </row>
    <row r="806" ht="15.75" customHeight="1">
      <c r="G806" s="7"/>
      <c r="J806" s="8"/>
      <c r="Z806" s="8"/>
    </row>
    <row r="807" ht="15.75" customHeight="1">
      <c r="G807" s="7"/>
      <c r="J807" s="8"/>
      <c r="Z807" s="8"/>
    </row>
    <row r="808" ht="15.75" customHeight="1">
      <c r="G808" s="7"/>
      <c r="J808" s="8"/>
      <c r="Z808" s="8"/>
    </row>
    <row r="809" ht="15.75" customHeight="1">
      <c r="G809" s="7"/>
      <c r="J809" s="8"/>
      <c r="Z809" s="8"/>
    </row>
    <row r="810" ht="15.75" customHeight="1">
      <c r="G810" s="7"/>
      <c r="J810" s="8"/>
      <c r="Z810" s="8"/>
    </row>
    <row r="811" ht="15.75" customHeight="1">
      <c r="G811" s="7"/>
      <c r="J811" s="8"/>
      <c r="Z811" s="8"/>
    </row>
    <row r="812" ht="15.75" customHeight="1">
      <c r="G812" s="7"/>
      <c r="J812" s="8"/>
      <c r="Z812" s="8"/>
    </row>
    <row r="813" ht="15.75" customHeight="1">
      <c r="G813" s="7"/>
      <c r="J813" s="8"/>
      <c r="Z813" s="8"/>
    </row>
    <row r="814" ht="15.75" customHeight="1">
      <c r="G814" s="7"/>
      <c r="J814" s="8"/>
      <c r="Z814" s="8"/>
    </row>
    <row r="815" ht="15.75" customHeight="1">
      <c r="G815" s="7"/>
      <c r="J815" s="8"/>
      <c r="Z815" s="8"/>
    </row>
    <row r="816" ht="15.75" customHeight="1">
      <c r="G816" s="7"/>
      <c r="J816" s="8"/>
      <c r="Z816" s="8"/>
    </row>
    <row r="817" ht="15.75" customHeight="1">
      <c r="G817" s="7"/>
      <c r="J817" s="8"/>
      <c r="Z817" s="8"/>
    </row>
    <row r="818" ht="15.75" customHeight="1">
      <c r="G818" s="7"/>
      <c r="J818" s="8"/>
      <c r="Z818" s="8"/>
    </row>
    <row r="819" ht="15.75" customHeight="1">
      <c r="G819" s="7"/>
      <c r="J819" s="8"/>
      <c r="Z819" s="8"/>
    </row>
    <row r="820" ht="15.75" customHeight="1">
      <c r="G820" s="7"/>
      <c r="J820" s="8"/>
      <c r="Z820" s="8"/>
    </row>
    <row r="821" ht="15.75" customHeight="1">
      <c r="G821" s="7"/>
      <c r="J821" s="8"/>
      <c r="Z821" s="8"/>
    </row>
    <row r="822" ht="15.75" customHeight="1">
      <c r="G822" s="7"/>
      <c r="J822" s="8"/>
      <c r="Z822" s="8"/>
    </row>
    <row r="823" ht="15.75" customHeight="1">
      <c r="G823" s="7"/>
      <c r="J823" s="8"/>
      <c r="Z823" s="8"/>
    </row>
    <row r="824" ht="15.75" customHeight="1">
      <c r="G824" s="7"/>
      <c r="J824" s="8"/>
      <c r="Z824" s="8"/>
    </row>
    <row r="825" ht="15.75" customHeight="1">
      <c r="G825" s="7"/>
      <c r="J825" s="8"/>
      <c r="Z825" s="8"/>
    </row>
    <row r="826" ht="15.75" customHeight="1">
      <c r="G826" s="7"/>
      <c r="J826" s="8"/>
      <c r="Z826" s="8"/>
    </row>
    <row r="827" ht="15.75" customHeight="1">
      <c r="G827" s="7"/>
      <c r="J827" s="8"/>
      <c r="Z827" s="8"/>
    </row>
    <row r="828" ht="15.75" customHeight="1">
      <c r="G828" s="7"/>
      <c r="J828" s="8"/>
      <c r="Z828" s="8"/>
    </row>
    <row r="829" ht="15.75" customHeight="1">
      <c r="G829" s="7"/>
      <c r="J829" s="8"/>
      <c r="Z829" s="8"/>
    </row>
    <row r="830" ht="15.75" customHeight="1">
      <c r="G830" s="7"/>
      <c r="J830" s="8"/>
      <c r="Z830" s="8"/>
    </row>
    <row r="831" ht="15.75" customHeight="1">
      <c r="G831" s="7"/>
      <c r="J831" s="8"/>
      <c r="Z831" s="8"/>
    </row>
    <row r="832" ht="15.75" customHeight="1">
      <c r="G832" s="7"/>
      <c r="J832" s="8"/>
      <c r="Z832" s="8"/>
    </row>
    <row r="833" ht="15.75" customHeight="1">
      <c r="G833" s="7"/>
      <c r="J833" s="8"/>
      <c r="Z833" s="8"/>
    </row>
    <row r="834" ht="15.75" customHeight="1">
      <c r="G834" s="7"/>
      <c r="J834" s="8"/>
      <c r="Z834" s="8"/>
    </row>
    <row r="835" ht="15.75" customHeight="1">
      <c r="G835" s="7"/>
      <c r="J835" s="8"/>
      <c r="Z835" s="8"/>
    </row>
    <row r="836" ht="15.75" customHeight="1">
      <c r="G836" s="7"/>
      <c r="J836" s="8"/>
      <c r="Z836" s="8"/>
    </row>
    <row r="837" ht="15.75" customHeight="1">
      <c r="G837" s="7"/>
      <c r="J837" s="8"/>
      <c r="Z837" s="8"/>
    </row>
    <row r="838" ht="15.75" customHeight="1">
      <c r="G838" s="7"/>
      <c r="J838" s="8"/>
      <c r="Z838" s="8"/>
    </row>
    <row r="839" ht="15.75" customHeight="1">
      <c r="G839" s="7"/>
      <c r="J839" s="8"/>
      <c r="Z839" s="8"/>
    </row>
    <row r="840" ht="15.75" customHeight="1">
      <c r="G840" s="7"/>
      <c r="J840" s="8"/>
      <c r="Z840" s="8"/>
    </row>
    <row r="841" ht="15.75" customHeight="1">
      <c r="G841" s="7"/>
      <c r="J841" s="8"/>
      <c r="Z841" s="8"/>
    </row>
    <row r="842" ht="15.75" customHeight="1">
      <c r="G842" s="7"/>
      <c r="J842" s="8"/>
      <c r="Z842" s="8"/>
    </row>
    <row r="843" ht="15.75" customHeight="1">
      <c r="G843" s="7"/>
      <c r="J843" s="8"/>
      <c r="Z843" s="8"/>
    </row>
    <row r="844" ht="15.75" customHeight="1">
      <c r="G844" s="7"/>
      <c r="J844" s="8"/>
      <c r="Z844" s="8"/>
    </row>
    <row r="845" ht="15.75" customHeight="1">
      <c r="G845" s="7"/>
      <c r="J845" s="8"/>
      <c r="Z845" s="8"/>
    </row>
    <row r="846" ht="15.75" customHeight="1">
      <c r="G846" s="7"/>
      <c r="J846" s="8"/>
      <c r="Z846" s="8"/>
    </row>
    <row r="847" ht="15.75" customHeight="1">
      <c r="G847" s="7"/>
      <c r="J847" s="8"/>
      <c r="Z847" s="8"/>
    </row>
    <row r="848" ht="15.75" customHeight="1">
      <c r="G848" s="7"/>
      <c r="J848" s="8"/>
      <c r="Z848" s="8"/>
    </row>
    <row r="849" ht="15.75" customHeight="1">
      <c r="G849" s="7"/>
      <c r="J849" s="8"/>
      <c r="Z849" s="8"/>
    </row>
    <row r="850" ht="15.75" customHeight="1">
      <c r="G850" s="7"/>
      <c r="J850" s="8"/>
      <c r="Z850" s="8"/>
    </row>
    <row r="851" ht="15.75" customHeight="1">
      <c r="G851" s="7"/>
      <c r="J851" s="8"/>
      <c r="Z851" s="8"/>
    </row>
    <row r="852" ht="15.75" customHeight="1">
      <c r="G852" s="7"/>
      <c r="J852" s="8"/>
      <c r="Z852" s="8"/>
    </row>
    <row r="853" ht="15.75" customHeight="1">
      <c r="G853" s="7"/>
      <c r="J853" s="8"/>
      <c r="Z853" s="8"/>
    </row>
    <row r="854" ht="15.75" customHeight="1">
      <c r="G854" s="7"/>
      <c r="J854" s="8"/>
      <c r="Z854" s="8"/>
    </row>
    <row r="855" ht="15.75" customHeight="1">
      <c r="G855" s="7"/>
      <c r="J855" s="8"/>
      <c r="Z855" s="8"/>
    </row>
    <row r="856" ht="15.75" customHeight="1">
      <c r="G856" s="7"/>
      <c r="J856" s="8"/>
      <c r="Z856" s="8"/>
    </row>
    <row r="857" ht="15.75" customHeight="1">
      <c r="G857" s="7"/>
      <c r="J857" s="8"/>
      <c r="Z857" s="8"/>
    </row>
    <row r="858" ht="15.75" customHeight="1">
      <c r="G858" s="7"/>
      <c r="J858" s="8"/>
      <c r="Z858" s="8"/>
    </row>
    <row r="859" ht="15.75" customHeight="1">
      <c r="G859" s="7"/>
      <c r="J859" s="8"/>
      <c r="Z859" s="8"/>
    </row>
    <row r="860" ht="15.75" customHeight="1">
      <c r="G860" s="7"/>
      <c r="J860" s="8"/>
      <c r="Z860" s="8"/>
    </row>
    <row r="861" ht="15.75" customHeight="1">
      <c r="G861" s="7"/>
      <c r="J861" s="8"/>
      <c r="Z861" s="8"/>
    </row>
    <row r="862" ht="15.75" customHeight="1">
      <c r="G862" s="7"/>
      <c r="J862" s="8"/>
      <c r="Z862" s="8"/>
    </row>
    <row r="863" ht="15.75" customHeight="1">
      <c r="G863" s="7"/>
      <c r="J863" s="8"/>
      <c r="Z863" s="8"/>
    </row>
    <row r="864" ht="15.75" customHeight="1">
      <c r="G864" s="7"/>
      <c r="J864" s="8"/>
      <c r="Z864" s="8"/>
    </row>
    <row r="865" ht="15.75" customHeight="1">
      <c r="G865" s="7"/>
      <c r="J865" s="8"/>
      <c r="Z865" s="8"/>
    </row>
    <row r="866" ht="15.75" customHeight="1">
      <c r="G866" s="7"/>
      <c r="J866" s="8"/>
      <c r="Z866" s="8"/>
    </row>
    <row r="867" ht="15.75" customHeight="1">
      <c r="G867" s="7"/>
      <c r="J867" s="8"/>
      <c r="Z867" s="8"/>
    </row>
    <row r="868" ht="15.75" customHeight="1">
      <c r="G868" s="7"/>
      <c r="J868" s="8"/>
      <c r="Z868" s="8"/>
    </row>
    <row r="869" ht="15.75" customHeight="1">
      <c r="G869" s="7"/>
      <c r="J869" s="8"/>
      <c r="Z869" s="8"/>
    </row>
    <row r="870" ht="15.75" customHeight="1">
      <c r="G870" s="7"/>
      <c r="J870" s="8"/>
      <c r="Z870" s="8"/>
    </row>
    <row r="871" ht="15.75" customHeight="1">
      <c r="G871" s="7"/>
      <c r="J871" s="8"/>
      <c r="Z871" s="8"/>
    </row>
    <row r="872" ht="15.75" customHeight="1">
      <c r="G872" s="7"/>
      <c r="J872" s="8"/>
      <c r="Z872" s="8"/>
    </row>
    <row r="873" ht="15.75" customHeight="1">
      <c r="G873" s="7"/>
      <c r="J873" s="8"/>
      <c r="Z873" s="8"/>
    </row>
    <row r="874" ht="15.75" customHeight="1">
      <c r="G874" s="7"/>
      <c r="J874" s="8"/>
      <c r="Z874" s="8"/>
    </row>
    <row r="875" ht="15.75" customHeight="1">
      <c r="G875" s="7"/>
      <c r="J875" s="8"/>
      <c r="Z875" s="8"/>
    </row>
    <row r="876" ht="15.75" customHeight="1">
      <c r="G876" s="7"/>
      <c r="J876" s="8"/>
      <c r="Z876" s="8"/>
    </row>
    <row r="877" ht="15.75" customHeight="1">
      <c r="G877" s="7"/>
      <c r="J877" s="8"/>
      <c r="Z877" s="8"/>
    </row>
    <row r="878" ht="15.75" customHeight="1">
      <c r="G878" s="7"/>
      <c r="J878" s="8"/>
      <c r="Z878" s="8"/>
    </row>
    <row r="879" ht="15.75" customHeight="1">
      <c r="G879" s="7"/>
      <c r="J879" s="8"/>
      <c r="Z879" s="8"/>
    </row>
    <row r="880" ht="15.75" customHeight="1">
      <c r="G880" s="7"/>
      <c r="J880" s="8"/>
      <c r="Z880" s="8"/>
    </row>
    <row r="881" ht="15.75" customHeight="1">
      <c r="G881" s="7"/>
      <c r="J881" s="8"/>
      <c r="Z881" s="8"/>
    </row>
    <row r="882" ht="15.75" customHeight="1">
      <c r="G882" s="7"/>
      <c r="J882" s="8"/>
      <c r="Z882" s="8"/>
    </row>
    <row r="883" ht="15.75" customHeight="1">
      <c r="G883" s="7"/>
      <c r="J883" s="8"/>
      <c r="Z883" s="8"/>
    </row>
    <row r="884" ht="15.75" customHeight="1">
      <c r="G884" s="7"/>
      <c r="J884" s="8"/>
      <c r="Z884" s="8"/>
    </row>
    <row r="885" ht="15.75" customHeight="1">
      <c r="G885" s="7"/>
      <c r="J885" s="8"/>
      <c r="Z885" s="8"/>
    </row>
    <row r="886" ht="15.75" customHeight="1">
      <c r="G886" s="7"/>
      <c r="J886" s="8"/>
      <c r="Z886" s="8"/>
    </row>
    <row r="887" ht="15.75" customHeight="1">
      <c r="G887" s="7"/>
      <c r="J887" s="8"/>
      <c r="Z887" s="8"/>
    </row>
    <row r="888" ht="15.75" customHeight="1">
      <c r="G888" s="7"/>
      <c r="J888" s="8"/>
      <c r="Z888" s="8"/>
    </row>
    <row r="889" ht="15.75" customHeight="1">
      <c r="G889" s="7"/>
      <c r="J889" s="8"/>
      <c r="Z889" s="8"/>
    </row>
    <row r="890" ht="15.75" customHeight="1">
      <c r="G890" s="7"/>
      <c r="J890" s="8"/>
      <c r="Z890" s="8"/>
    </row>
    <row r="891" ht="15.75" customHeight="1">
      <c r="G891" s="7"/>
      <c r="J891" s="8"/>
      <c r="Z891" s="8"/>
    </row>
    <row r="892" ht="15.75" customHeight="1">
      <c r="G892" s="7"/>
      <c r="J892" s="8"/>
      <c r="Z892" s="8"/>
    </row>
    <row r="893" ht="15.75" customHeight="1">
      <c r="G893" s="7"/>
      <c r="J893" s="8"/>
      <c r="Z893" s="8"/>
    </row>
    <row r="894" ht="15.75" customHeight="1">
      <c r="G894" s="7"/>
      <c r="J894" s="8"/>
      <c r="Z894" s="8"/>
    </row>
    <row r="895" ht="15.75" customHeight="1">
      <c r="G895" s="7"/>
      <c r="J895" s="8"/>
      <c r="Z895" s="8"/>
    </row>
    <row r="896" ht="15.75" customHeight="1">
      <c r="G896" s="7"/>
      <c r="J896" s="8"/>
      <c r="Z896" s="8"/>
    </row>
    <row r="897" ht="15.75" customHeight="1">
      <c r="G897" s="7"/>
      <c r="J897" s="8"/>
      <c r="Z897" s="8"/>
    </row>
    <row r="898" ht="15.75" customHeight="1">
      <c r="G898" s="7"/>
      <c r="J898" s="8"/>
      <c r="Z898" s="8"/>
    </row>
    <row r="899" ht="15.75" customHeight="1">
      <c r="G899" s="7"/>
      <c r="J899" s="8"/>
      <c r="Z899" s="8"/>
    </row>
    <row r="900" ht="15.75" customHeight="1">
      <c r="G900" s="7"/>
      <c r="J900" s="8"/>
      <c r="Z900" s="8"/>
    </row>
    <row r="901" ht="15.75" customHeight="1">
      <c r="G901" s="7"/>
      <c r="J901" s="8"/>
      <c r="Z901" s="8"/>
    </row>
    <row r="902" ht="15.75" customHeight="1">
      <c r="G902" s="7"/>
      <c r="J902" s="8"/>
      <c r="Z902" s="8"/>
    </row>
    <row r="903" ht="15.75" customHeight="1">
      <c r="G903" s="7"/>
      <c r="J903" s="8"/>
      <c r="Z903" s="8"/>
    </row>
    <row r="904" ht="15.75" customHeight="1">
      <c r="G904" s="7"/>
      <c r="J904" s="8"/>
      <c r="Z904" s="8"/>
    </row>
    <row r="905" ht="15.75" customHeight="1">
      <c r="G905" s="7"/>
      <c r="J905" s="8"/>
      <c r="Z905" s="8"/>
    </row>
    <row r="906" ht="15.75" customHeight="1">
      <c r="G906" s="7"/>
      <c r="J906" s="8"/>
      <c r="Z906" s="8"/>
    </row>
    <row r="907" ht="15.75" customHeight="1">
      <c r="G907" s="7"/>
      <c r="J907" s="8"/>
      <c r="Z907" s="8"/>
    </row>
    <row r="908" ht="15.75" customHeight="1">
      <c r="G908" s="7"/>
      <c r="J908" s="8"/>
      <c r="Z908" s="8"/>
    </row>
    <row r="909" ht="15.75" customHeight="1">
      <c r="G909" s="7"/>
      <c r="J909" s="8"/>
      <c r="Z909" s="8"/>
    </row>
    <row r="910" ht="15.75" customHeight="1">
      <c r="G910" s="7"/>
      <c r="J910" s="8"/>
      <c r="Z910" s="8"/>
    </row>
    <row r="911" ht="15.75" customHeight="1">
      <c r="G911" s="7"/>
      <c r="J911" s="8"/>
      <c r="Z911" s="8"/>
    </row>
    <row r="912" ht="15.75" customHeight="1">
      <c r="G912" s="7"/>
      <c r="J912" s="8"/>
      <c r="Z912" s="8"/>
    </row>
    <row r="913" ht="15.75" customHeight="1">
      <c r="G913" s="7"/>
      <c r="J913" s="8"/>
      <c r="Z913" s="8"/>
    </row>
    <row r="914" ht="15.75" customHeight="1">
      <c r="G914" s="7"/>
      <c r="J914" s="8"/>
      <c r="Z914" s="8"/>
    </row>
    <row r="915" ht="15.75" customHeight="1">
      <c r="G915" s="7"/>
      <c r="J915" s="8"/>
      <c r="Z915" s="8"/>
    </row>
    <row r="916" ht="15.75" customHeight="1">
      <c r="G916" s="7"/>
      <c r="J916" s="8"/>
      <c r="Z916" s="8"/>
    </row>
    <row r="917" ht="15.75" customHeight="1">
      <c r="G917" s="7"/>
      <c r="J917" s="8"/>
      <c r="Z917" s="8"/>
    </row>
    <row r="918" ht="15.75" customHeight="1">
      <c r="G918" s="7"/>
      <c r="J918" s="8"/>
      <c r="Z918" s="8"/>
    </row>
    <row r="919" ht="15.75" customHeight="1">
      <c r="G919" s="7"/>
      <c r="J919" s="8"/>
      <c r="Z919" s="8"/>
    </row>
    <row r="920" ht="15.75" customHeight="1">
      <c r="G920" s="7"/>
      <c r="J920" s="8"/>
      <c r="Z920" s="8"/>
    </row>
    <row r="921" ht="15.75" customHeight="1">
      <c r="G921" s="7"/>
      <c r="J921" s="8"/>
      <c r="Z921" s="8"/>
    </row>
    <row r="922" ht="15.75" customHeight="1">
      <c r="G922" s="7"/>
      <c r="J922" s="8"/>
      <c r="Z922" s="8"/>
    </row>
    <row r="923" ht="15.75" customHeight="1">
      <c r="G923" s="7"/>
      <c r="J923" s="8"/>
      <c r="Z923" s="8"/>
    </row>
    <row r="924" ht="15.75" customHeight="1">
      <c r="G924" s="7"/>
      <c r="J924" s="8"/>
      <c r="Z924" s="8"/>
    </row>
    <row r="925" ht="15.75" customHeight="1">
      <c r="G925" s="7"/>
      <c r="J925" s="8"/>
      <c r="Z925" s="8"/>
    </row>
    <row r="926" ht="15.75" customHeight="1">
      <c r="G926" s="7"/>
      <c r="J926" s="8"/>
      <c r="Z926" s="8"/>
    </row>
    <row r="927" ht="15.75" customHeight="1">
      <c r="G927" s="7"/>
      <c r="J927" s="8"/>
      <c r="Z927" s="8"/>
    </row>
    <row r="928" ht="15.75" customHeight="1">
      <c r="G928" s="7"/>
      <c r="J928" s="8"/>
      <c r="Z928" s="8"/>
    </row>
    <row r="929" ht="15.75" customHeight="1">
      <c r="G929" s="7"/>
      <c r="J929" s="8"/>
      <c r="Z929" s="8"/>
    </row>
    <row r="930" ht="15.75" customHeight="1">
      <c r="G930" s="7"/>
      <c r="J930" s="8"/>
      <c r="Z930" s="8"/>
    </row>
    <row r="931" ht="15.75" customHeight="1">
      <c r="G931" s="7"/>
      <c r="J931" s="8"/>
      <c r="Z931" s="8"/>
    </row>
    <row r="932" ht="15.75" customHeight="1">
      <c r="G932" s="7"/>
      <c r="J932" s="8"/>
      <c r="Z932" s="8"/>
    </row>
    <row r="933" ht="15.75" customHeight="1">
      <c r="G933" s="7"/>
      <c r="J933" s="8"/>
      <c r="Z933" s="8"/>
    </row>
    <row r="934" ht="15.75" customHeight="1">
      <c r="G934" s="7"/>
      <c r="J934" s="8"/>
      <c r="Z934" s="8"/>
    </row>
    <row r="935" ht="15.75" customHeight="1">
      <c r="G935" s="7"/>
      <c r="J935" s="8"/>
      <c r="Z935" s="8"/>
    </row>
    <row r="936" ht="15.75" customHeight="1">
      <c r="G936" s="7"/>
      <c r="J936" s="8"/>
      <c r="Z936" s="8"/>
    </row>
    <row r="937" ht="15.75" customHeight="1">
      <c r="G937" s="7"/>
      <c r="J937" s="8"/>
      <c r="Z937" s="8"/>
    </row>
    <row r="938" ht="15.75" customHeight="1">
      <c r="G938" s="7"/>
      <c r="J938" s="8"/>
      <c r="Z938" s="8"/>
    </row>
    <row r="939" ht="15.75" customHeight="1">
      <c r="G939" s="7"/>
      <c r="J939" s="8"/>
      <c r="Z939" s="8"/>
    </row>
    <row r="940" ht="15.75" customHeight="1">
      <c r="G940" s="7"/>
      <c r="J940" s="8"/>
      <c r="Z940" s="8"/>
    </row>
    <row r="941" ht="15.75" customHeight="1">
      <c r="G941" s="7"/>
      <c r="J941" s="8"/>
      <c r="Z941" s="8"/>
    </row>
    <row r="942" ht="15.75" customHeight="1">
      <c r="G942" s="7"/>
      <c r="J942" s="8"/>
      <c r="Z942" s="8"/>
    </row>
    <row r="943" ht="15.75" customHeight="1">
      <c r="G943" s="7"/>
      <c r="J943" s="8"/>
      <c r="Z943" s="8"/>
    </row>
    <row r="944" ht="15.75" customHeight="1">
      <c r="G944" s="7"/>
      <c r="J944" s="8"/>
      <c r="Z944" s="8"/>
    </row>
    <row r="945" ht="15.75" customHeight="1">
      <c r="G945" s="7"/>
      <c r="J945" s="8"/>
      <c r="Z945" s="8"/>
    </row>
    <row r="946" ht="15.75" customHeight="1">
      <c r="G946" s="7"/>
      <c r="J946" s="8"/>
      <c r="Z946" s="8"/>
    </row>
    <row r="947" ht="15.75" customHeight="1">
      <c r="G947" s="7"/>
      <c r="J947" s="8"/>
      <c r="Z947" s="8"/>
    </row>
    <row r="948" ht="15.75" customHeight="1">
      <c r="G948" s="7"/>
      <c r="J948" s="8"/>
      <c r="Z948" s="8"/>
    </row>
    <row r="949" ht="15.75" customHeight="1">
      <c r="G949" s="7"/>
      <c r="J949" s="8"/>
      <c r="Z949" s="8"/>
    </row>
    <row r="950" ht="15.75" customHeight="1">
      <c r="G950" s="7"/>
      <c r="J950" s="8"/>
      <c r="Z950" s="8"/>
    </row>
    <row r="951" ht="15.75" customHeight="1">
      <c r="G951" s="7"/>
      <c r="J951" s="8"/>
      <c r="Z951" s="8"/>
    </row>
    <row r="952" ht="15.75" customHeight="1">
      <c r="G952" s="7"/>
      <c r="J952" s="8"/>
      <c r="Z952" s="8"/>
    </row>
    <row r="953" ht="15.75" customHeight="1">
      <c r="G953" s="7"/>
      <c r="J953" s="8"/>
      <c r="Z953" s="8"/>
    </row>
    <row r="954" ht="15.75" customHeight="1">
      <c r="G954" s="7"/>
      <c r="J954" s="8"/>
      <c r="Z954" s="8"/>
    </row>
    <row r="955" ht="15.75" customHeight="1">
      <c r="G955" s="7"/>
      <c r="J955" s="8"/>
      <c r="Z955" s="8"/>
    </row>
    <row r="956" ht="15.75" customHeight="1">
      <c r="G956" s="7"/>
      <c r="J956" s="8"/>
      <c r="Z956" s="8"/>
    </row>
    <row r="957" ht="15.75" customHeight="1">
      <c r="G957" s="7"/>
      <c r="J957" s="8"/>
      <c r="Z957" s="8"/>
    </row>
    <row r="958" ht="15.75" customHeight="1">
      <c r="G958" s="7"/>
      <c r="J958" s="8"/>
      <c r="Z958" s="8"/>
    </row>
    <row r="959" ht="15.75" customHeight="1">
      <c r="G959" s="7"/>
      <c r="J959" s="8"/>
      <c r="Z959" s="8"/>
    </row>
    <row r="960" ht="15.75" customHeight="1">
      <c r="G960" s="7"/>
      <c r="J960" s="8"/>
      <c r="Z960" s="8"/>
    </row>
    <row r="961" ht="15.75" customHeight="1">
      <c r="G961" s="7"/>
      <c r="J961" s="8"/>
      <c r="Z961" s="8"/>
    </row>
    <row r="962" ht="15.75" customHeight="1">
      <c r="G962" s="7"/>
      <c r="J962" s="8"/>
      <c r="Z962" s="8"/>
    </row>
    <row r="963" ht="15.75" customHeight="1">
      <c r="G963" s="7"/>
      <c r="J963" s="8"/>
      <c r="Z963" s="8"/>
    </row>
    <row r="964" ht="15.75" customHeight="1">
      <c r="G964" s="7"/>
      <c r="J964" s="8"/>
      <c r="Z964" s="8"/>
    </row>
    <row r="965" ht="15.75" customHeight="1">
      <c r="G965" s="7"/>
      <c r="J965" s="8"/>
      <c r="Z965" s="8"/>
    </row>
    <row r="966" ht="15.75" customHeight="1">
      <c r="G966" s="7"/>
      <c r="J966" s="8"/>
      <c r="Z966" s="8"/>
    </row>
    <row r="967" ht="15.75" customHeight="1">
      <c r="G967" s="7"/>
      <c r="J967" s="8"/>
      <c r="Z967" s="8"/>
    </row>
    <row r="968" ht="15.75" customHeight="1">
      <c r="G968" s="7"/>
      <c r="J968" s="8"/>
      <c r="Z968" s="8"/>
    </row>
    <row r="969" ht="15.75" customHeight="1">
      <c r="G969" s="7"/>
      <c r="J969" s="8"/>
      <c r="Z969" s="8"/>
    </row>
    <row r="970" ht="15.75" customHeight="1">
      <c r="G970" s="7"/>
      <c r="J970" s="8"/>
      <c r="Z970" s="8"/>
    </row>
    <row r="971" ht="15.75" customHeight="1">
      <c r="G971" s="7"/>
      <c r="J971" s="8"/>
      <c r="Z971" s="8"/>
    </row>
    <row r="972" ht="15.75" customHeight="1">
      <c r="G972" s="7"/>
      <c r="J972" s="8"/>
      <c r="Z972" s="8"/>
    </row>
    <row r="973" ht="15.75" customHeight="1">
      <c r="G973" s="7"/>
      <c r="J973" s="8"/>
      <c r="Z973" s="8"/>
    </row>
    <row r="974" ht="15.75" customHeight="1">
      <c r="G974" s="7"/>
      <c r="J974" s="8"/>
      <c r="Z974" s="8"/>
    </row>
    <row r="975" ht="15.75" customHeight="1">
      <c r="G975" s="7"/>
      <c r="J975" s="8"/>
      <c r="Z975" s="8"/>
    </row>
    <row r="976" ht="15.75" customHeight="1">
      <c r="G976" s="7"/>
      <c r="J976" s="8"/>
      <c r="Z976" s="8"/>
    </row>
    <row r="977" ht="15.75" customHeight="1">
      <c r="G977" s="7"/>
      <c r="J977" s="8"/>
      <c r="Z977" s="8"/>
    </row>
    <row r="978" ht="15.75" customHeight="1">
      <c r="G978" s="7"/>
      <c r="J978" s="8"/>
      <c r="Z978" s="8"/>
    </row>
    <row r="979" ht="15.75" customHeight="1">
      <c r="G979" s="7"/>
      <c r="J979" s="8"/>
      <c r="Z979" s="8"/>
    </row>
    <row r="980" ht="15.75" customHeight="1">
      <c r="G980" s="7"/>
      <c r="J980" s="8"/>
      <c r="Z980" s="8"/>
    </row>
    <row r="981" ht="15.75" customHeight="1">
      <c r="G981" s="7"/>
      <c r="J981" s="8"/>
      <c r="Z981" s="8"/>
    </row>
    <row r="982" ht="15.75" customHeight="1">
      <c r="G982" s="7"/>
      <c r="J982" s="8"/>
      <c r="Z982" s="8"/>
    </row>
    <row r="983" ht="15.75" customHeight="1">
      <c r="G983" s="7"/>
      <c r="J983" s="8"/>
      <c r="Z983" s="8"/>
    </row>
    <row r="984" ht="15.75" customHeight="1">
      <c r="G984" s="7"/>
      <c r="J984" s="8"/>
      <c r="Z984" s="8"/>
    </row>
    <row r="985" ht="15.75" customHeight="1">
      <c r="G985" s="7"/>
      <c r="J985" s="8"/>
      <c r="Z985" s="8"/>
    </row>
    <row r="986" ht="15.75" customHeight="1">
      <c r="G986" s="7"/>
      <c r="J986" s="8"/>
      <c r="Z986" s="8"/>
    </row>
    <row r="987" ht="15.75" customHeight="1">
      <c r="G987" s="7"/>
      <c r="J987" s="8"/>
      <c r="Z987" s="8"/>
    </row>
    <row r="988" ht="15.75" customHeight="1">
      <c r="G988" s="7"/>
      <c r="J988" s="8"/>
      <c r="Z988" s="8"/>
    </row>
    <row r="989" ht="15.75" customHeight="1">
      <c r="G989" s="7"/>
      <c r="J989" s="8"/>
      <c r="Z989" s="8"/>
    </row>
    <row r="990" ht="15.75" customHeight="1">
      <c r="G990" s="7"/>
      <c r="J990" s="8"/>
      <c r="Z990" s="8"/>
    </row>
    <row r="991" ht="15.75" customHeight="1">
      <c r="G991" s="7"/>
      <c r="J991" s="8"/>
      <c r="Z991" s="8"/>
    </row>
    <row r="992" ht="15.75" customHeight="1">
      <c r="G992" s="7"/>
      <c r="J992" s="8"/>
      <c r="Z992" s="8"/>
    </row>
    <row r="993" ht="15.75" customHeight="1">
      <c r="G993" s="7"/>
      <c r="J993" s="8"/>
      <c r="Z993" s="8"/>
    </row>
    <row r="994" ht="15.75" customHeight="1">
      <c r="G994" s="7"/>
      <c r="J994" s="8"/>
      <c r="Z994" s="8"/>
    </row>
    <row r="995" ht="15.75" customHeight="1">
      <c r="G995" s="7"/>
      <c r="J995" s="8"/>
      <c r="Z995" s="8"/>
    </row>
    <row r="996" ht="15.75" customHeight="1">
      <c r="G996" s="7"/>
      <c r="J996" s="8"/>
      <c r="Z996" s="8"/>
    </row>
    <row r="997" ht="15.75" customHeight="1">
      <c r="G997" s="7"/>
      <c r="J997" s="8"/>
      <c r="Z997" s="8"/>
    </row>
  </sheetData>
  <autoFilter ref="$A$1:$Z$1"/>
  <conditionalFormatting sqref="G2:G997">
    <cfRule type="expression" dxfId="0" priority="1" stopIfTrue="1">
      <formula>AND(LEN(G2)&gt;0, COUNTIF($G$2:$G997, G2)&gt;1)</formula>
    </cfRule>
  </conditionalFormatting>
  <dataValidations>
    <dataValidation type="list" allowBlank="1" sqref="Z2:Z997">
      <formula1>"active,under_review,inactive"</formula1>
    </dataValidation>
    <dataValidation type="list" allowBlank="1" sqref="J2:J997">
      <formula1>"mild,mild-medium,medium,medium-full,full"</formula1>
    </dataValidation>
  </dataValidations>
  <printOptions/>
  <pageMargins bottom="1.0" footer="0.0" header="0.0" left="0.75" right="0.75" top="1.0"/>
  <pageSetup orientation="landscape"/>
  <drawing r:id="rId1"/>
</worksheet>
</file>